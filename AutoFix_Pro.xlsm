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06491454-31F7-4139-A3C1-3297B959BE3C}" xr6:coauthVersionLast="47" xr6:coauthVersionMax="47" xr10:uidLastSave="{00000000-0000-0000-0000-000000000000}"/>
  <bookViews>
    <workbookView xWindow="4240" yWindow="2190" windowWidth="21320" windowHeight="18170" tabRatio="500" xr2:uid="{00000000-000D-0000-FFFF-FFFF00000000}"/>
  </bookViews>
  <sheets>
    <sheet name="Servicios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01" i="1" l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<sst xmlns="http://schemas.openxmlformats.org/spreadsheetml/2006/main" count="810" uniqueCount="221">
  <si>
    <t>ID_Servicio</t>
  </si>
  <si>
    <t>Fecha</t>
  </si>
  <si>
    <t>Tipo_Servicio</t>
  </si>
  <si>
    <t>Mecanico</t>
  </si>
  <si>
    <t>Estado</t>
  </si>
  <si>
    <t>SRV-0001</t>
  </si>
  <si>
    <t>Reparación Mecánica</t>
  </si>
  <si>
    <t>Carlos López</t>
  </si>
  <si>
    <t>Retrasado</t>
  </si>
  <si>
    <t>SRV-0002</t>
  </si>
  <si>
    <t>Miguel Torres</t>
  </si>
  <si>
    <t>SRV-0003</t>
  </si>
  <si>
    <t>Diagnóstico Electrónico</t>
  </si>
  <si>
    <t>Ana Martínez</t>
  </si>
  <si>
    <t>SRV-0004</t>
  </si>
  <si>
    <t>Cambio Neumáticos</t>
  </si>
  <si>
    <t>Pedro Sánchez</t>
  </si>
  <si>
    <t>Finalizado en plazo</t>
  </si>
  <si>
    <t>SRV-0005</t>
  </si>
  <si>
    <t>SRV-0006</t>
  </si>
  <si>
    <t>SRV-0007</t>
  </si>
  <si>
    <t>Laura Gómez</t>
  </si>
  <si>
    <t>SRV-0008</t>
  </si>
  <si>
    <t>SRV-0009</t>
  </si>
  <si>
    <t>Revisión Periódica</t>
  </si>
  <si>
    <t>SRV-0010</t>
  </si>
  <si>
    <t>SRV-0011</t>
  </si>
  <si>
    <t>SRV-0012</t>
  </si>
  <si>
    <t>SRV-0013</t>
  </si>
  <si>
    <t>SRV-0014</t>
  </si>
  <si>
    <t>SRV-0015</t>
  </si>
  <si>
    <t>SRV-0016</t>
  </si>
  <si>
    <t>SRV-0017</t>
  </si>
  <si>
    <t>SRV-0018</t>
  </si>
  <si>
    <t>SRV-0019</t>
  </si>
  <si>
    <t>SRV-0020</t>
  </si>
  <si>
    <t>SRV-0021</t>
  </si>
  <si>
    <t>SRV-0022</t>
  </si>
  <si>
    <t>SRV-0023</t>
  </si>
  <si>
    <t>SRV-0024</t>
  </si>
  <si>
    <t>SRV-0025</t>
  </si>
  <si>
    <t>SRV-0026</t>
  </si>
  <si>
    <t>SRV-0027</t>
  </si>
  <si>
    <t>SRV-0028</t>
  </si>
  <si>
    <t>SRV-0029</t>
  </si>
  <si>
    <t>SRV-0030</t>
  </si>
  <si>
    <t>SRV-0031</t>
  </si>
  <si>
    <t>SRV-0032</t>
  </si>
  <si>
    <t>SRV-0033</t>
  </si>
  <si>
    <t>SRV-0034</t>
  </si>
  <si>
    <t>SRV-0035</t>
  </si>
  <si>
    <t>SRV-0036</t>
  </si>
  <si>
    <t>SRV-0037</t>
  </si>
  <si>
    <t>SRV-0038</t>
  </si>
  <si>
    <t>SRV-0039</t>
  </si>
  <si>
    <t>SRV-0040</t>
  </si>
  <si>
    <t>SRV-0041</t>
  </si>
  <si>
    <t>SRV-0042</t>
  </si>
  <si>
    <t>SRV-0043</t>
  </si>
  <si>
    <t>SRV-0044</t>
  </si>
  <si>
    <t>SRV-0045</t>
  </si>
  <si>
    <t>SRV-0046</t>
  </si>
  <si>
    <t>SRV-0047</t>
  </si>
  <si>
    <t>SRV-0048</t>
  </si>
  <si>
    <t>SRV-0049</t>
  </si>
  <si>
    <t>SRV-0050</t>
  </si>
  <si>
    <t>SRV-0051</t>
  </si>
  <si>
    <t>SRV-0052</t>
  </si>
  <si>
    <t>SRV-0053</t>
  </si>
  <si>
    <t>SRV-0054</t>
  </si>
  <si>
    <t>SRV-0055</t>
  </si>
  <si>
    <t>SRV-0056</t>
  </si>
  <si>
    <t>SRV-0057</t>
  </si>
  <si>
    <t>SRV-0058</t>
  </si>
  <si>
    <t>SRV-0059</t>
  </si>
  <si>
    <t>SRV-0060</t>
  </si>
  <si>
    <t>SRV-0061</t>
  </si>
  <si>
    <t>SRV-0062</t>
  </si>
  <si>
    <t>SRV-0063</t>
  </si>
  <si>
    <t>SRV-0064</t>
  </si>
  <si>
    <t>SRV-0065</t>
  </si>
  <si>
    <t>SRV-0066</t>
  </si>
  <si>
    <t>SRV-0067</t>
  </si>
  <si>
    <t>SRV-0068</t>
  </si>
  <si>
    <t>SRV-0069</t>
  </si>
  <si>
    <t>SRV-0070</t>
  </si>
  <si>
    <t>SRV-0071</t>
  </si>
  <si>
    <t>SRV-0072</t>
  </si>
  <si>
    <t>SRV-0073</t>
  </si>
  <si>
    <t>SRV-0074</t>
  </si>
  <si>
    <t>SRV-0075</t>
  </si>
  <si>
    <t>SRV-0076</t>
  </si>
  <si>
    <t>SRV-0077</t>
  </si>
  <si>
    <t>SRV-0078</t>
  </si>
  <si>
    <t>SRV-0079</t>
  </si>
  <si>
    <t>SRV-0080</t>
  </si>
  <si>
    <t>SRV-0081</t>
  </si>
  <si>
    <t>SRV-0082</t>
  </si>
  <si>
    <t>SRV-0083</t>
  </si>
  <si>
    <t>SRV-0084</t>
  </si>
  <si>
    <t>SRV-0085</t>
  </si>
  <si>
    <t>SRV-0086</t>
  </si>
  <si>
    <t>SRV-0087</t>
  </si>
  <si>
    <t>SRV-0088</t>
  </si>
  <si>
    <t>SRV-0089</t>
  </si>
  <si>
    <t>SRV-0090</t>
  </si>
  <si>
    <t>SRV-0091</t>
  </si>
  <si>
    <t>SRV-0092</t>
  </si>
  <si>
    <t>SRV-0093</t>
  </si>
  <si>
    <t>SRV-0094</t>
  </si>
  <si>
    <t>SRV-0095</t>
  </si>
  <si>
    <t>SRV-0096</t>
  </si>
  <si>
    <t>SRV-0097</t>
  </si>
  <si>
    <t>SRV-0098</t>
  </si>
  <si>
    <t>SRV-0099</t>
  </si>
  <si>
    <t>SRV-0100</t>
  </si>
  <si>
    <t>SRV-0101</t>
  </si>
  <si>
    <t>SRV-0102</t>
  </si>
  <si>
    <t>SRV-0103</t>
  </si>
  <si>
    <t>SRV-0104</t>
  </si>
  <si>
    <t>SRV-0105</t>
  </si>
  <si>
    <t>SRV-0106</t>
  </si>
  <si>
    <t>SRV-0107</t>
  </si>
  <si>
    <t>SRV-0108</t>
  </si>
  <si>
    <t>SRV-0109</t>
  </si>
  <si>
    <t>SRV-0110</t>
  </si>
  <si>
    <t>SRV-0111</t>
  </si>
  <si>
    <t>SRV-0112</t>
  </si>
  <si>
    <t>SRV-0113</t>
  </si>
  <si>
    <t>SRV-0114</t>
  </si>
  <si>
    <t>SRV-0115</t>
  </si>
  <si>
    <t>SRV-0116</t>
  </si>
  <si>
    <t>SRV-0117</t>
  </si>
  <si>
    <t>SRV-0118</t>
  </si>
  <si>
    <t>SRV-0119</t>
  </si>
  <si>
    <t>SRV-0120</t>
  </si>
  <si>
    <t>SRV-0121</t>
  </si>
  <si>
    <t>SRV-0122</t>
  </si>
  <si>
    <t>SRV-0123</t>
  </si>
  <si>
    <t>SRV-0124</t>
  </si>
  <si>
    <t>SRV-0125</t>
  </si>
  <si>
    <t>SRV-0126</t>
  </si>
  <si>
    <t>SRV-0127</t>
  </si>
  <si>
    <t>SRV-0128</t>
  </si>
  <si>
    <t>SRV-0129</t>
  </si>
  <si>
    <t>SRV-0130</t>
  </si>
  <si>
    <t>SRV-0131</t>
  </si>
  <si>
    <t>SRV-0132</t>
  </si>
  <si>
    <t>SRV-0133</t>
  </si>
  <si>
    <t>SRV-0134</t>
  </si>
  <si>
    <t>SRV-0135</t>
  </si>
  <si>
    <t>SRV-0136</t>
  </si>
  <si>
    <t>SRV-0137</t>
  </si>
  <si>
    <t>SRV-0138</t>
  </si>
  <si>
    <t>SRV-0139</t>
  </si>
  <si>
    <t>SRV-0140</t>
  </si>
  <si>
    <t>SRV-0141</t>
  </si>
  <si>
    <t>SRV-0142</t>
  </si>
  <si>
    <t>SRV-0143</t>
  </si>
  <si>
    <t>SRV-0144</t>
  </si>
  <si>
    <t>SRV-0145</t>
  </si>
  <si>
    <t>SRV-0146</t>
  </si>
  <si>
    <t>SRV-0147</t>
  </si>
  <si>
    <t>SRV-0148</t>
  </si>
  <si>
    <t>SRV-0149</t>
  </si>
  <si>
    <t>SRV-0150</t>
  </si>
  <si>
    <t>SRV-0151</t>
  </si>
  <si>
    <t>SRV-0152</t>
  </si>
  <si>
    <t>SRV-0153</t>
  </si>
  <si>
    <t>SRV-0154</t>
  </si>
  <si>
    <t>SRV-0155</t>
  </si>
  <si>
    <t>SRV-0156</t>
  </si>
  <si>
    <t>SRV-0157</t>
  </si>
  <si>
    <t>SRV-0158</t>
  </si>
  <si>
    <t>SRV-0159</t>
  </si>
  <si>
    <t>SRV-0160</t>
  </si>
  <si>
    <t>SRV-0161</t>
  </si>
  <si>
    <t>SRV-0162</t>
  </si>
  <si>
    <t>SRV-0163</t>
  </si>
  <si>
    <t>SRV-0164</t>
  </si>
  <si>
    <t>SRV-0165</t>
  </si>
  <si>
    <t>SRV-0166</t>
  </si>
  <si>
    <t>SRV-0167</t>
  </si>
  <si>
    <t>SRV-0168</t>
  </si>
  <si>
    <t>SRV-0169</t>
  </si>
  <si>
    <t>SRV-0170</t>
  </si>
  <si>
    <t>SRV-0171</t>
  </si>
  <si>
    <t>SRV-0172</t>
  </si>
  <si>
    <t>SRV-0173</t>
  </si>
  <si>
    <t>SRV-0174</t>
  </si>
  <si>
    <t>SRV-0175</t>
  </si>
  <si>
    <t>SRV-0176</t>
  </si>
  <si>
    <t>SRV-0177</t>
  </si>
  <si>
    <t>SRV-0178</t>
  </si>
  <si>
    <t>SRV-0179</t>
  </si>
  <si>
    <t>SRV-0180</t>
  </si>
  <si>
    <t>SRV-0181</t>
  </si>
  <si>
    <t>SRV-0182</t>
  </si>
  <si>
    <t>SRV-0183</t>
  </si>
  <si>
    <t>SRV-0184</t>
  </si>
  <si>
    <t>SRV-0185</t>
  </si>
  <si>
    <t>SRV-0186</t>
  </si>
  <si>
    <t>SRV-0187</t>
  </si>
  <si>
    <t>SRV-0188</t>
  </si>
  <si>
    <t>SRV-0189</t>
  </si>
  <si>
    <t>SRV-0190</t>
  </si>
  <si>
    <t>SRV-0191</t>
  </si>
  <si>
    <t>SRV-0192</t>
  </si>
  <si>
    <t>SRV-0193</t>
  </si>
  <si>
    <t>SRV-0194</t>
  </si>
  <si>
    <t>SRV-0195</t>
  </si>
  <si>
    <t>SRV-0196</t>
  </si>
  <si>
    <t>SRV-0197</t>
  </si>
  <si>
    <t>SRV-0198</t>
  </si>
  <si>
    <t>SRV-0199</t>
  </si>
  <si>
    <t>SRV-0200</t>
  </si>
  <si>
    <t>Tiempo_Estimado</t>
  </si>
  <si>
    <t>Tiempo_Real</t>
  </si>
  <si>
    <t>Coste</t>
  </si>
  <si>
    <t>Ingreso</t>
  </si>
  <si>
    <t>Beneficio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</si>
</sst>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 €&quot;"/>
  </numFmts>
  <fonts count="3" x14ac:knownFonts="1">
    <font>
      <sz val="11"/>
      <color theme="1"/>
      <name val="Calibri"/>
      <family val="2"/>
      <charset val="1"/>
    </font>
    <font>
      <b/>
      <sz val="11"/>
      <color rgb="FFFFFFFF"/>
      <name val="Arial"/>
      <charset val="1"/>
    </font>
    <font>
      <sz val="10"/>
      <name val="Arial"/>
      <charset val="1"/>
    </font>
  </fonts>
  <fills count="6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F9696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FFFF9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14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2" fillId="5" borderId="0" xfId="0" applyNumberFormat="1" applyFont="1" applyFill="1" applyAlignment="1">
      <alignment horizontal="center"/>
    </xf>
    <xf numFmtId="164" fontId="2" fillId="5" borderId="0" xfId="0" applyNumberFormat="1" applyFont="1" applyFill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4EC"/>
      <rgbColor rgb="FFDDEE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4FF"/>
      <rgbColor rgb="FFF5F5F5"/>
      <rgbColor rgb="FFFFFF99"/>
      <rgbColor rgb="FF99CCFF"/>
      <rgbColor rgb="FFFF99CC"/>
      <rgbColor rgb="FFCC99FF"/>
      <rgbColor rgb="FFFFCC99"/>
      <rgbColor rgb="FF2E74B5"/>
      <rgbColor rgb="FF33CCCC"/>
      <rgbColor rgb="FF99CC00"/>
      <rgbColor rgb="FFFFCC00"/>
      <rgbColor rgb="FFFF9900"/>
      <rgbColor rgb="FFFF6600"/>
      <rgbColor rgb="FF666699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01"/>
  <sheetViews>
    <sheetView tabSelected="1" zoomScaleNormal="100" workbookViewId="0">
      <pane ySplit="1" topLeftCell="A2" activePane="bottomLeft" state="frozen"/>
      <selection pane="bottomLeft" activeCell="K3" sqref="K3"/>
    </sheetView>
  </sheetViews>
  <sheetFormatPr baseColWidth="10" defaultColWidth="8.6328125" defaultRowHeight="14.5" x14ac:dyDescent="0.35"/>
  <cols>
    <col min="1" max="2" width="14" customWidth="1"/>
    <col min="3" max="3" width="26" customWidth="1"/>
    <col min="4" max="4" width="18" customWidth="1"/>
    <col min="5" max="5" width="20" customWidth="1"/>
    <col min="6" max="6" width="16" customWidth="1"/>
    <col min="7" max="7" width="22" customWidth="1"/>
    <col min="8" max="9" width="13" customWidth="1"/>
    <col min="10" max="10" width="17" customWidth="1"/>
  </cols>
  <sheetData>
    <row r="1" spans="1:10" ht="30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216</v>
      </c>
      <c r="F1" s="1" t="s">
        <v>217</v>
      </c>
      <c r="G1" s="1" t="s">
        <v>4</v>
      </c>
      <c r="H1" s="1" t="s">
        <v>218</v>
      </c>
      <c r="I1" s="1" t="s">
        <v>219</v>
      </c>
      <c r="J1" s="1" t="s">
        <v>220</v>
      </c>
    </row>
    <row r="2" spans="1:10" s="11" customFormat="1" x14ac:dyDescent="0.35">
      <c r="A2" s="2" t="s">
        <v>5</v>
      </c>
      <c r="B2" s="3">
        <v>45620</v>
      </c>
      <c r="C2" s="2" t="s">
        <v>6</v>
      </c>
      <c r="D2" s="2" t="s">
        <v>7</v>
      </c>
      <c r="E2" s="2">
        <v>4.2</v>
      </c>
      <c r="F2" s="2">
        <v>4.9000000000000004</v>
      </c>
      <c r="G2" s="2" t="s">
        <v>8</v>
      </c>
      <c r="H2" s="4">
        <v>92.3</v>
      </c>
      <c r="I2" s="4">
        <v>149.56</v>
      </c>
      <c r="J2" s="4">
        <f t="shared" ref="J2:J33" si="0">I2-H2</f>
        <v>57.260000000000005</v>
      </c>
    </row>
    <row r="3" spans="1:10" s="11" customFormat="1" x14ac:dyDescent="0.35">
      <c r="A3" s="2" t="s">
        <v>9</v>
      </c>
      <c r="B3" s="3">
        <v>45572</v>
      </c>
      <c r="C3" s="2" t="s">
        <v>6</v>
      </c>
      <c r="D3" s="2" t="s">
        <v>10</v>
      </c>
      <c r="E3" s="2">
        <v>3.3</v>
      </c>
      <c r="F3" s="2">
        <v>4.0999999999999996</v>
      </c>
      <c r="G3" s="2" t="s">
        <v>8</v>
      </c>
      <c r="H3" s="4">
        <v>140.63999999999999</v>
      </c>
      <c r="I3" s="4">
        <v>177.67</v>
      </c>
      <c r="J3" s="4">
        <f t="shared" si="0"/>
        <v>37.03</v>
      </c>
    </row>
    <row r="4" spans="1:10" s="11" customFormat="1" x14ac:dyDescent="0.35">
      <c r="A4" s="2" t="s">
        <v>11</v>
      </c>
      <c r="B4" s="3">
        <v>45394</v>
      </c>
      <c r="C4" s="2" t="s">
        <v>12</v>
      </c>
      <c r="D4" s="2" t="s">
        <v>13</v>
      </c>
      <c r="E4" s="2">
        <v>1.4</v>
      </c>
      <c r="F4" s="2">
        <v>3.2</v>
      </c>
      <c r="G4" s="2" t="s">
        <v>8</v>
      </c>
      <c r="H4" s="4">
        <v>77.94</v>
      </c>
      <c r="I4" s="4">
        <v>103.65</v>
      </c>
      <c r="J4" s="4">
        <f t="shared" si="0"/>
        <v>25.710000000000008</v>
      </c>
    </row>
    <row r="5" spans="1:10" s="11" customFormat="1" x14ac:dyDescent="0.35">
      <c r="A5" s="5" t="s">
        <v>14</v>
      </c>
      <c r="B5" s="6">
        <v>45509</v>
      </c>
      <c r="C5" s="5" t="s">
        <v>15</v>
      </c>
      <c r="D5" s="5" t="s">
        <v>16</v>
      </c>
      <c r="E5" s="5">
        <v>1.2</v>
      </c>
      <c r="F5" s="5">
        <v>1.1000000000000001</v>
      </c>
      <c r="G5" s="5" t="s">
        <v>17</v>
      </c>
      <c r="H5" s="7">
        <v>56.49</v>
      </c>
      <c r="I5" s="7">
        <v>73.34</v>
      </c>
      <c r="J5" s="7">
        <f t="shared" si="0"/>
        <v>16.850000000000001</v>
      </c>
    </row>
    <row r="6" spans="1:10" s="11" customFormat="1" x14ac:dyDescent="0.35">
      <c r="A6" s="8" t="s">
        <v>18</v>
      </c>
      <c r="B6" s="9">
        <v>45469</v>
      </c>
      <c r="C6" s="8" t="s">
        <v>15</v>
      </c>
      <c r="D6" s="8" t="s">
        <v>7</v>
      </c>
      <c r="E6" s="8">
        <v>2.1</v>
      </c>
      <c r="F6" s="8">
        <v>2.2000000000000002</v>
      </c>
      <c r="G6" s="8" t="s">
        <v>17</v>
      </c>
      <c r="H6" s="10">
        <v>76.5</v>
      </c>
      <c r="I6" s="10">
        <v>116.74</v>
      </c>
      <c r="J6" s="10">
        <f t="shared" si="0"/>
        <v>40.239999999999995</v>
      </c>
    </row>
    <row r="7" spans="1:10" s="11" customFormat="1" x14ac:dyDescent="0.35">
      <c r="A7" s="2" t="s">
        <v>19</v>
      </c>
      <c r="B7" s="3">
        <v>45614</v>
      </c>
      <c r="C7" s="2" t="s">
        <v>15</v>
      </c>
      <c r="D7" s="2" t="s">
        <v>10</v>
      </c>
      <c r="E7" s="2">
        <v>1.3</v>
      </c>
      <c r="F7" s="2">
        <v>2.8</v>
      </c>
      <c r="G7" s="2" t="s">
        <v>8</v>
      </c>
      <c r="H7" s="4">
        <v>104.11</v>
      </c>
      <c r="I7" s="4">
        <v>181.42</v>
      </c>
      <c r="J7" s="4">
        <f t="shared" si="0"/>
        <v>77.309999999999988</v>
      </c>
    </row>
    <row r="8" spans="1:10" s="11" customFormat="1" x14ac:dyDescent="0.35">
      <c r="A8" s="5" t="s">
        <v>20</v>
      </c>
      <c r="B8" s="6">
        <v>45412</v>
      </c>
      <c r="C8" s="5" t="s">
        <v>6</v>
      </c>
      <c r="D8" s="5" t="s">
        <v>21</v>
      </c>
      <c r="E8" s="5">
        <v>2.8</v>
      </c>
      <c r="F8" s="5">
        <v>2.5</v>
      </c>
      <c r="G8" s="5" t="s">
        <v>17</v>
      </c>
      <c r="H8" s="7">
        <v>124.42</v>
      </c>
      <c r="I8" s="7">
        <v>168.56</v>
      </c>
      <c r="J8" s="7">
        <f t="shared" si="0"/>
        <v>44.14</v>
      </c>
    </row>
    <row r="9" spans="1:10" s="11" customFormat="1" x14ac:dyDescent="0.35">
      <c r="A9" s="5" t="s">
        <v>22</v>
      </c>
      <c r="B9" s="6">
        <v>45429</v>
      </c>
      <c r="C9" s="5" t="s">
        <v>6</v>
      </c>
      <c r="D9" s="5" t="s">
        <v>10</v>
      </c>
      <c r="E9" s="5">
        <v>3.9</v>
      </c>
      <c r="F9" s="5">
        <v>3.4</v>
      </c>
      <c r="G9" s="5" t="s">
        <v>17</v>
      </c>
      <c r="H9" s="7">
        <v>135.47</v>
      </c>
      <c r="I9" s="7">
        <v>187.62</v>
      </c>
      <c r="J9" s="7">
        <f t="shared" si="0"/>
        <v>52.150000000000006</v>
      </c>
    </row>
    <row r="10" spans="1:10" s="11" customFormat="1" x14ac:dyDescent="0.35">
      <c r="A10" s="5" t="s">
        <v>23</v>
      </c>
      <c r="B10" s="6">
        <v>45620</v>
      </c>
      <c r="C10" s="5" t="s">
        <v>24</v>
      </c>
      <c r="D10" s="5" t="s">
        <v>16</v>
      </c>
      <c r="E10" s="5">
        <v>1.3</v>
      </c>
      <c r="F10" s="5">
        <v>1.1000000000000001</v>
      </c>
      <c r="G10" s="5" t="s">
        <v>17</v>
      </c>
      <c r="H10" s="7">
        <v>31.28</v>
      </c>
      <c r="I10" s="7">
        <v>44.03</v>
      </c>
      <c r="J10" s="7">
        <f t="shared" si="0"/>
        <v>12.75</v>
      </c>
    </row>
    <row r="11" spans="1:10" s="11" customFormat="1" x14ac:dyDescent="0.35">
      <c r="A11" s="5" t="s">
        <v>25</v>
      </c>
      <c r="B11" s="6">
        <v>45430</v>
      </c>
      <c r="C11" s="5" t="s">
        <v>6</v>
      </c>
      <c r="D11" s="5" t="s">
        <v>13</v>
      </c>
      <c r="E11" s="5">
        <v>4.7</v>
      </c>
      <c r="F11" s="5">
        <v>4.5999999999999996</v>
      </c>
      <c r="G11" s="5" t="s">
        <v>17</v>
      </c>
      <c r="H11" s="7">
        <v>105.52</v>
      </c>
      <c r="I11" s="7">
        <v>158.24</v>
      </c>
      <c r="J11" s="7">
        <f t="shared" si="0"/>
        <v>52.720000000000013</v>
      </c>
    </row>
    <row r="12" spans="1:10" s="11" customFormat="1" x14ac:dyDescent="0.35">
      <c r="A12" s="2" t="s">
        <v>26</v>
      </c>
      <c r="B12" s="3">
        <v>45622</v>
      </c>
      <c r="C12" s="2" t="s">
        <v>12</v>
      </c>
      <c r="D12" s="2" t="s">
        <v>13</v>
      </c>
      <c r="E12" s="2">
        <v>1.3</v>
      </c>
      <c r="F12" s="2">
        <v>2.6</v>
      </c>
      <c r="G12" s="2" t="s">
        <v>8</v>
      </c>
      <c r="H12" s="4">
        <v>53.14</v>
      </c>
      <c r="I12" s="4">
        <v>81.96</v>
      </c>
      <c r="J12" s="4">
        <f t="shared" si="0"/>
        <v>28.819999999999993</v>
      </c>
    </row>
    <row r="13" spans="1:10" s="11" customFormat="1" x14ac:dyDescent="0.35">
      <c r="A13" s="5" t="s">
        <v>27</v>
      </c>
      <c r="B13" s="6">
        <v>45591</v>
      </c>
      <c r="C13" s="5" t="s">
        <v>12</v>
      </c>
      <c r="D13" s="5" t="s">
        <v>16</v>
      </c>
      <c r="E13" s="5">
        <v>1.2</v>
      </c>
      <c r="F13" s="5">
        <v>1.1000000000000001</v>
      </c>
      <c r="G13" s="5" t="s">
        <v>17</v>
      </c>
      <c r="H13" s="7">
        <v>44.55</v>
      </c>
      <c r="I13" s="7">
        <v>56.74</v>
      </c>
      <c r="J13" s="7">
        <f t="shared" si="0"/>
        <v>12.190000000000005</v>
      </c>
    </row>
    <row r="14" spans="1:10" s="11" customFormat="1" x14ac:dyDescent="0.35">
      <c r="A14" s="5" t="s">
        <v>28</v>
      </c>
      <c r="B14" s="6">
        <v>45349</v>
      </c>
      <c r="C14" s="5" t="s">
        <v>24</v>
      </c>
      <c r="D14" s="5" t="s">
        <v>13</v>
      </c>
      <c r="E14" s="5">
        <v>1.3</v>
      </c>
      <c r="F14" s="5">
        <v>1.1000000000000001</v>
      </c>
      <c r="G14" s="5" t="s">
        <v>17</v>
      </c>
      <c r="H14" s="7">
        <v>45.26</v>
      </c>
      <c r="I14" s="7">
        <v>79.12</v>
      </c>
      <c r="J14" s="7">
        <f t="shared" si="0"/>
        <v>33.860000000000007</v>
      </c>
    </row>
    <row r="15" spans="1:10" s="11" customFormat="1" x14ac:dyDescent="0.35">
      <c r="A15" s="2" t="s">
        <v>29</v>
      </c>
      <c r="B15" s="3">
        <v>45563</v>
      </c>
      <c r="C15" s="2" t="s">
        <v>15</v>
      </c>
      <c r="D15" s="2" t="s">
        <v>10</v>
      </c>
      <c r="E15" s="2">
        <v>2.2999999999999998</v>
      </c>
      <c r="F15" s="2">
        <v>3.9</v>
      </c>
      <c r="G15" s="2" t="s">
        <v>8</v>
      </c>
      <c r="H15" s="4">
        <v>97.72</v>
      </c>
      <c r="I15" s="4">
        <v>148.38999999999999</v>
      </c>
      <c r="J15" s="4">
        <f t="shared" si="0"/>
        <v>50.669999999999987</v>
      </c>
    </row>
    <row r="16" spans="1:10" s="11" customFormat="1" x14ac:dyDescent="0.35">
      <c r="A16" s="2" t="s">
        <v>30</v>
      </c>
      <c r="B16" s="3">
        <v>45429</v>
      </c>
      <c r="C16" s="2" t="s">
        <v>15</v>
      </c>
      <c r="D16" s="2" t="s">
        <v>7</v>
      </c>
      <c r="E16" s="2">
        <v>1.4</v>
      </c>
      <c r="F16" s="2">
        <v>1.9</v>
      </c>
      <c r="G16" s="2" t="s">
        <v>8</v>
      </c>
      <c r="H16" s="4">
        <v>100.55</v>
      </c>
      <c r="I16" s="4">
        <v>161.87</v>
      </c>
      <c r="J16" s="4">
        <f t="shared" si="0"/>
        <v>61.320000000000007</v>
      </c>
    </row>
    <row r="17" spans="1:10" s="11" customFormat="1" x14ac:dyDescent="0.35">
      <c r="A17" s="5" t="s">
        <v>31</v>
      </c>
      <c r="B17" s="6">
        <v>45549</v>
      </c>
      <c r="C17" s="5" t="s">
        <v>24</v>
      </c>
      <c r="D17" s="5" t="s">
        <v>10</v>
      </c>
      <c r="E17" s="5">
        <v>1.4</v>
      </c>
      <c r="F17" s="5">
        <v>1.2</v>
      </c>
      <c r="G17" s="5" t="s">
        <v>17</v>
      </c>
      <c r="H17" s="7">
        <v>55.56</v>
      </c>
      <c r="I17" s="7">
        <v>86.37</v>
      </c>
      <c r="J17" s="7">
        <f t="shared" si="0"/>
        <v>30.810000000000002</v>
      </c>
    </row>
    <row r="18" spans="1:10" s="11" customFormat="1" x14ac:dyDescent="0.35">
      <c r="A18" s="5" t="s">
        <v>32</v>
      </c>
      <c r="B18" s="6">
        <v>45371</v>
      </c>
      <c r="C18" s="5" t="s">
        <v>15</v>
      </c>
      <c r="D18" s="5" t="s">
        <v>13</v>
      </c>
      <c r="E18" s="5">
        <v>1.8</v>
      </c>
      <c r="F18" s="5">
        <v>1.7</v>
      </c>
      <c r="G18" s="5" t="s">
        <v>17</v>
      </c>
      <c r="H18" s="7">
        <v>50.04</v>
      </c>
      <c r="I18" s="7">
        <v>70.66</v>
      </c>
      <c r="J18" s="7">
        <f t="shared" si="0"/>
        <v>20.619999999999997</v>
      </c>
    </row>
    <row r="19" spans="1:10" s="11" customFormat="1" x14ac:dyDescent="0.35">
      <c r="A19" s="5" t="s">
        <v>33</v>
      </c>
      <c r="B19" s="6">
        <v>45302</v>
      </c>
      <c r="C19" s="5" t="s">
        <v>6</v>
      </c>
      <c r="D19" s="5" t="s">
        <v>16</v>
      </c>
      <c r="E19" s="5">
        <v>4.5999999999999996</v>
      </c>
      <c r="F19" s="5">
        <v>4</v>
      </c>
      <c r="G19" s="5" t="s">
        <v>17</v>
      </c>
      <c r="H19" s="7">
        <v>86.95</v>
      </c>
      <c r="I19" s="7">
        <v>146.86000000000001</v>
      </c>
      <c r="J19" s="7">
        <f t="shared" si="0"/>
        <v>59.910000000000011</v>
      </c>
    </row>
    <row r="20" spans="1:10" s="11" customFormat="1" x14ac:dyDescent="0.35">
      <c r="A20" s="5" t="s">
        <v>34</v>
      </c>
      <c r="B20" s="6">
        <v>45333</v>
      </c>
      <c r="C20" s="5" t="s">
        <v>6</v>
      </c>
      <c r="D20" s="5" t="s">
        <v>21</v>
      </c>
      <c r="E20" s="5">
        <v>4.4000000000000004</v>
      </c>
      <c r="F20" s="5">
        <v>4.0999999999999996</v>
      </c>
      <c r="G20" s="5" t="s">
        <v>17</v>
      </c>
      <c r="H20" s="7">
        <v>95.09</v>
      </c>
      <c r="I20" s="7">
        <v>150.22999999999999</v>
      </c>
      <c r="J20" s="7">
        <f t="shared" si="0"/>
        <v>55.139999999999986</v>
      </c>
    </row>
    <row r="21" spans="1:10" s="11" customFormat="1" x14ac:dyDescent="0.35">
      <c r="A21" s="5" t="s">
        <v>35</v>
      </c>
      <c r="B21" s="6">
        <v>45574</v>
      </c>
      <c r="C21" s="5" t="s">
        <v>24</v>
      </c>
      <c r="D21" s="5" t="s">
        <v>16</v>
      </c>
      <c r="E21" s="5">
        <v>1</v>
      </c>
      <c r="F21" s="5">
        <v>1</v>
      </c>
      <c r="G21" s="5" t="s">
        <v>17</v>
      </c>
      <c r="H21" s="7">
        <v>67.16</v>
      </c>
      <c r="I21" s="7">
        <v>109.31</v>
      </c>
      <c r="J21" s="7">
        <f t="shared" si="0"/>
        <v>42.150000000000006</v>
      </c>
    </row>
    <row r="22" spans="1:10" s="11" customFormat="1" x14ac:dyDescent="0.35">
      <c r="A22" s="5" t="s">
        <v>36</v>
      </c>
      <c r="B22" s="6">
        <v>45646</v>
      </c>
      <c r="C22" s="5" t="s">
        <v>24</v>
      </c>
      <c r="D22" s="5" t="s">
        <v>16</v>
      </c>
      <c r="E22" s="5">
        <v>0.9</v>
      </c>
      <c r="F22" s="5">
        <v>0.8</v>
      </c>
      <c r="G22" s="5" t="s">
        <v>17</v>
      </c>
      <c r="H22" s="7">
        <v>65.98</v>
      </c>
      <c r="I22" s="7">
        <v>97.37</v>
      </c>
      <c r="J22" s="7">
        <f t="shared" si="0"/>
        <v>31.39</v>
      </c>
    </row>
    <row r="23" spans="1:10" s="11" customFormat="1" x14ac:dyDescent="0.35">
      <c r="A23" s="5" t="s">
        <v>37</v>
      </c>
      <c r="B23" s="6">
        <v>45419</v>
      </c>
      <c r="C23" s="5" t="s">
        <v>24</v>
      </c>
      <c r="D23" s="5" t="s">
        <v>7</v>
      </c>
      <c r="E23" s="5">
        <v>0.8</v>
      </c>
      <c r="F23" s="5">
        <v>0.7</v>
      </c>
      <c r="G23" s="5" t="s">
        <v>17</v>
      </c>
      <c r="H23" s="7">
        <v>38.81</v>
      </c>
      <c r="I23" s="7">
        <v>49.89</v>
      </c>
      <c r="J23" s="7">
        <f t="shared" si="0"/>
        <v>11.079999999999998</v>
      </c>
    </row>
    <row r="24" spans="1:10" s="11" customFormat="1" x14ac:dyDescent="0.35">
      <c r="A24" s="2" t="s">
        <v>38</v>
      </c>
      <c r="B24" s="3">
        <v>45616</v>
      </c>
      <c r="C24" s="2" t="s">
        <v>6</v>
      </c>
      <c r="D24" s="2" t="s">
        <v>13</v>
      </c>
      <c r="E24" s="2">
        <v>2.2000000000000002</v>
      </c>
      <c r="F24" s="2">
        <v>3.2</v>
      </c>
      <c r="G24" s="2" t="s">
        <v>8</v>
      </c>
      <c r="H24" s="4">
        <v>141.69999999999999</v>
      </c>
      <c r="I24" s="4">
        <v>196.86</v>
      </c>
      <c r="J24" s="4">
        <f t="shared" si="0"/>
        <v>55.160000000000025</v>
      </c>
    </row>
    <row r="25" spans="1:10" s="11" customFormat="1" x14ac:dyDescent="0.35">
      <c r="A25" s="5" t="s">
        <v>39</v>
      </c>
      <c r="B25" s="6">
        <v>45541</v>
      </c>
      <c r="C25" s="5" t="s">
        <v>24</v>
      </c>
      <c r="D25" s="5" t="s">
        <v>10</v>
      </c>
      <c r="E25" s="5">
        <v>0.6</v>
      </c>
      <c r="F25" s="5">
        <v>0.6</v>
      </c>
      <c r="G25" s="5" t="s">
        <v>17</v>
      </c>
      <c r="H25" s="7">
        <v>48.91</v>
      </c>
      <c r="I25" s="7">
        <v>80.33</v>
      </c>
      <c r="J25" s="7">
        <f t="shared" si="0"/>
        <v>31.42</v>
      </c>
    </row>
    <row r="26" spans="1:10" s="11" customFormat="1" x14ac:dyDescent="0.35">
      <c r="A26" s="5" t="s">
        <v>40</v>
      </c>
      <c r="B26" s="6">
        <v>45501</v>
      </c>
      <c r="C26" s="5" t="s">
        <v>24</v>
      </c>
      <c r="D26" s="5" t="s">
        <v>7</v>
      </c>
      <c r="E26" s="5">
        <v>0.6</v>
      </c>
      <c r="F26" s="5">
        <v>0.5</v>
      </c>
      <c r="G26" s="5" t="s">
        <v>17</v>
      </c>
      <c r="H26" s="7">
        <v>48.68</v>
      </c>
      <c r="I26" s="7">
        <v>78.599999999999994</v>
      </c>
      <c r="J26" s="7">
        <f t="shared" si="0"/>
        <v>29.919999999999995</v>
      </c>
    </row>
    <row r="27" spans="1:10" s="11" customFormat="1" x14ac:dyDescent="0.35">
      <c r="A27" s="5" t="s">
        <v>41</v>
      </c>
      <c r="B27" s="6">
        <v>45637</v>
      </c>
      <c r="C27" s="5" t="s">
        <v>6</v>
      </c>
      <c r="D27" s="5" t="s">
        <v>7</v>
      </c>
      <c r="E27" s="5">
        <v>3.2</v>
      </c>
      <c r="F27" s="5">
        <v>3.2</v>
      </c>
      <c r="G27" s="5" t="s">
        <v>17</v>
      </c>
      <c r="H27" s="7">
        <v>109.84</v>
      </c>
      <c r="I27" s="7">
        <v>147.75</v>
      </c>
      <c r="J27" s="7">
        <f t="shared" si="0"/>
        <v>37.909999999999997</v>
      </c>
    </row>
    <row r="28" spans="1:10" s="11" customFormat="1" x14ac:dyDescent="0.35">
      <c r="A28" s="5" t="s">
        <v>42</v>
      </c>
      <c r="B28" s="6">
        <v>45522</v>
      </c>
      <c r="C28" s="5" t="s">
        <v>24</v>
      </c>
      <c r="D28" s="5" t="s">
        <v>21</v>
      </c>
      <c r="E28" s="5">
        <v>0.7</v>
      </c>
      <c r="F28" s="5">
        <v>0.7</v>
      </c>
      <c r="G28" s="5" t="s">
        <v>17</v>
      </c>
      <c r="H28" s="7">
        <v>33.020000000000003</v>
      </c>
      <c r="I28" s="7">
        <v>54.62</v>
      </c>
      <c r="J28" s="7">
        <f t="shared" si="0"/>
        <v>21.599999999999994</v>
      </c>
    </row>
    <row r="29" spans="1:10" s="11" customFormat="1" x14ac:dyDescent="0.35">
      <c r="A29" s="5" t="s">
        <v>43</v>
      </c>
      <c r="B29" s="6">
        <v>45574</v>
      </c>
      <c r="C29" s="5" t="s">
        <v>6</v>
      </c>
      <c r="D29" s="5" t="s">
        <v>7</v>
      </c>
      <c r="E29" s="5">
        <v>4</v>
      </c>
      <c r="F29" s="5">
        <v>3.2</v>
      </c>
      <c r="G29" s="5" t="s">
        <v>17</v>
      </c>
      <c r="H29" s="7">
        <v>91.19</v>
      </c>
      <c r="I29" s="7">
        <v>148.35</v>
      </c>
      <c r="J29" s="7">
        <f t="shared" si="0"/>
        <v>57.16</v>
      </c>
    </row>
    <row r="30" spans="1:10" s="11" customFormat="1" x14ac:dyDescent="0.35">
      <c r="A30" s="2" t="s">
        <v>44</v>
      </c>
      <c r="B30" s="3">
        <v>45414</v>
      </c>
      <c r="C30" s="2" t="s">
        <v>24</v>
      </c>
      <c r="D30" s="2" t="s">
        <v>21</v>
      </c>
      <c r="E30" s="2">
        <v>1</v>
      </c>
      <c r="F30" s="2">
        <v>2.1</v>
      </c>
      <c r="G30" s="2" t="s">
        <v>8</v>
      </c>
      <c r="H30" s="4">
        <v>32.35</v>
      </c>
      <c r="I30" s="4">
        <v>46.57</v>
      </c>
      <c r="J30" s="4">
        <f t="shared" si="0"/>
        <v>14.219999999999999</v>
      </c>
    </row>
    <row r="31" spans="1:10" s="11" customFormat="1" x14ac:dyDescent="0.35">
      <c r="A31" s="5" t="s">
        <v>45</v>
      </c>
      <c r="B31" s="6">
        <v>45492</v>
      </c>
      <c r="C31" s="5" t="s">
        <v>15</v>
      </c>
      <c r="D31" s="5" t="s">
        <v>21</v>
      </c>
      <c r="E31" s="5">
        <v>1.4</v>
      </c>
      <c r="F31" s="5">
        <v>1.4</v>
      </c>
      <c r="G31" s="5" t="s">
        <v>17</v>
      </c>
      <c r="H31" s="7">
        <v>104.84</v>
      </c>
      <c r="I31" s="7">
        <v>165.75</v>
      </c>
      <c r="J31" s="7">
        <f t="shared" si="0"/>
        <v>60.91</v>
      </c>
    </row>
    <row r="32" spans="1:10" s="11" customFormat="1" x14ac:dyDescent="0.35">
      <c r="A32" s="5" t="s">
        <v>46</v>
      </c>
      <c r="B32" s="6">
        <v>45542</v>
      </c>
      <c r="C32" s="5" t="s">
        <v>24</v>
      </c>
      <c r="D32" s="5" t="s">
        <v>13</v>
      </c>
      <c r="E32" s="5">
        <v>0.8</v>
      </c>
      <c r="F32" s="5">
        <v>0.8</v>
      </c>
      <c r="G32" s="5" t="s">
        <v>17</v>
      </c>
      <c r="H32" s="7">
        <v>51.69</v>
      </c>
      <c r="I32" s="7">
        <v>83.94</v>
      </c>
      <c r="J32" s="7">
        <f t="shared" si="0"/>
        <v>32.25</v>
      </c>
    </row>
    <row r="33" spans="1:10" s="11" customFormat="1" x14ac:dyDescent="0.35">
      <c r="A33" s="5" t="s">
        <v>47</v>
      </c>
      <c r="B33" s="6">
        <v>45322</v>
      </c>
      <c r="C33" s="5" t="s">
        <v>6</v>
      </c>
      <c r="D33" s="5" t="s">
        <v>10</v>
      </c>
      <c r="E33" s="5">
        <v>3.4</v>
      </c>
      <c r="F33" s="5">
        <v>3.2</v>
      </c>
      <c r="G33" s="5" t="s">
        <v>17</v>
      </c>
      <c r="H33" s="7">
        <v>86.83</v>
      </c>
      <c r="I33" s="7">
        <v>130.58000000000001</v>
      </c>
      <c r="J33" s="7">
        <f t="shared" si="0"/>
        <v>43.750000000000014</v>
      </c>
    </row>
    <row r="34" spans="1:10" s="11" customFormat="1" x14ac:dyDescent="0.35">
      <c r="A34" s="5" t="s">
        <v>48</v>
      </c>
      <c r="B34" s="6">
        <v>45388</v>
      </c>
      <c r="C34" s="5" t="s">
        <v>6</v>
      </c>
      <c r="D34" s="5" t="s">
        <v>10</v>
      </c>
      <c r="E34" s="5">
        <v>2.2000000000000002</v>
      </c>
      <c r="F34" s="5">
        <v>2</v>
      </c>
      <c r="G34" s="5" t="s">
        <v>17</v>
      </c>
      <c r="H34" s="7">
        <v>192.99</v>
      </c>
      <c r="I34" s="7">
        <v>296.20999999999998</v>
      </c>
      <c r="J34" s="7">
        <f t="shared" ref="J34:J65" si="1">I34-H34</f>
        <v>103.21999999999997</v>
      </c>
    </row>
    <row r="35" spans="1:10" s="11" customFormat="1" x14ac:dyDescent="0.35">
      <c r="A35" s="5" t="s">
        <v>49</v>
      </c>
      <c r="B35" s="6">
        <v>45589</v>
      </c>
      <c r="C35" s="5" t="s">
        <v>6</v>
      </c>
      <c r="D35" s="5" t="s">
        <v>10</v>
      </c>
      <c r="E35" s="5">
        <v>2.2000000000000002</v>
      </c>
      <c r="F35" s="5">
        <v>2.1</v>
      </c>
      <c r="G35" s="5" t="s">
        <v>17</v>
      </c>
      <c r="H35" s="7">
        <v>117.96</v>
      </c>
      <c r="I35" s="7">
        <v>162.83000000000001</v>
      </c>
      <c r="J35" s="7">
        <f t="shared" si="1"/>
        <v>44.870000000000019</v>
      </c>
    </row>
    <row r="36" spans="1:10" s="11" customFormat="1" x14ac:dyDescent="0.35">
      <c r="A36" s="2" t="s">
        <v>50</v>
      </c>
      <c r="B36" s="3">
        <v>45635</v>
      </c>
      <c r="C36" s="2" t="s">
        <v>15</v>
      </c>
      <c r="D36" s="2" t="s">
        <v>13</v>
      </c>
      <c r="E36" s="2">
        <v>1.4</v>
      </c>
      <c r="F36" s="2">
        <v>2.9</v>
      </c>
      <c r="G36" s="2" t="s">
        <v>8</v>
      </c>
      <c r="H36" s="4">
        <v>82.01</v>
      </c>
      <c r="I36" s="4">
        <v>140.61000000000001</v>
      </c>
      <c r="J36" s="4">
        <f t="shared" si="1"/>
        <v>58.600000000000009</v>
      </c>
    </row>
    <row r="37" spans="1:10" s="11" customFormat="1" x14ac:dyDescent="0.35">
      <c r="A37" s="5" t="s">
        <v>51</v>
      </c>
      <c r="B37" s="6">
        <v>45330</v>
      </c>
      <c r="C37" s="5" t="s">
        <v>6</v>
      </c>
      <c r="D37" s="5" t="s">
        <v>21</v>
      </c>
      <c r="E37" s="5">
        <v>3.9</v>
      </c>
      <c r="F37" s="5">
        <v>3.2</v>
      </c>
      <c r="G37" s="5" t="s">
        <v>17</v>
      </c>
      <c r="H37" s="7">
        <v>144.52000000000001</v>
      </c>
      <c r="I37" s="7">
        <v>217.21</v>
      </c>
      <c r="J37" s="7">
        <f t="shared" si="1"/>
        <v>72.69</v>
      </c>
    </row>
    <row r="38" spans="1:10" s="11" customFormat="1" x14ac:dyDescent="0.35">
      <c r="A38" s="5" t="s">
        <v>52</v>
      </c>
      <c r="B38" s="6">
        <v>45360</v>
      </c>
      <c r="C38" s="5" t="s">
        <v>15</v>
      </c>
      <c r="D38" s="5" t="s">
        <v>7</v>
      </c>
      <c r="E38" s="5">
        <v>2.2999999999999998</v>
      </c>
      <c r="F38" s="5">
        <v>1.9</v>
      </c>
      <c r="G38" s="5" t="s">
        <v>17</v>
      </c>
      <c r="H38" s="7">
        <v>108.36</v>
      </c>
      <c r="I38" s="7">
        <v>173.57</v>
      </c>
      <c r="J38" s="7">
        <f t="shared" si="1"/>
        <v>65.209999999999994</v>
      </c>
    </row>
    <row r="39" spans="1:10" s="11" customFormat="1" x14ac:dyDescent="0.35">
      <c r="A39" s="8" t="s">
        <v>53</v>
      </c>
      <c r="B39" s="9">
        <v>45606</v>
      </c>
      <c r="C39" s="8" t="s">
        <v>6</v>
      </c>
      <c r="D39" s="8" t="s">
        <v>10</v>
      </c>
      <c r="E39" s="8">
        <v>2.9</v>
      </c>
      <c r="F39" s="8">
        <v>3</v>
      </c>
      <c r="G39" s="8" t="s">
        <v>17</v>
      </c>
      <c r="H39" s="10">
        <v>96.11</v>
      </c>
      <c r="I39" s="10">
        <v>125.68</v>
      </c>
      <c r="J39" s="10">
        <f t="shared" si="1"/>
        <v>29.570000000000007</v>
      </c>
    </row>
    <row r="40" spans="1:10" s="11" customFormat="1" x14ac:dyDescent="0.35">
      <c r="A40" s="2" t="s">
        <v>54</v>
      </c>
      <c r="B40" s="3">
        <v>45347</v>
      </c>
      <c r="C40" s="2" t="s">
        <v>24</v>
      </c>
      <c r="D40" s="2" t="s">
        <v>16</v>
      </c>
      <c r="E40" s="2">
        <v>0.8</v>
      </c>
      <c r="F40" s="2">
        <v>1.8</v>
      </c>
      <c r="G40" s="2" t="s">
        <v>8</v>
      </c>
      <c r="H40" s="4">
        <v>57.5</v>
      </c>
      <c r="I40" s="4">
        <v>96.4</v>
      </c>
      <c r="J40" s="4">
        <f t="shared" si="1"/>
        <v>38.900000000000006</v>
      </c>
    </row>
    <row r="41" spans="1:10" s="11" customFormat="1" x14ac:dyDescent="0.35">
      <c r="A41" s="5" t="s">
        <v>55</v>
      </c>
      <c r="B41" s="6">
        <v>45551</v>
      </c>
      <c r="C41" s="5" t="s">
        <v>12</v>
      </c>
      <c r="D41" s="5" t="s">
        <v>16</v>
      </c>
      <c r="E41" s="5">
        <v>1.9</v>
      </c>
      <c r="F41" s="5">
        <v>1.6</v>
      </c>
      <c r="G41" s="5" t="s">
        <v>17</v>
      </c>
      <c r="H41" s="7">
        <v>61.18</v>
      </c>
      <c r="I41" s="7">
        <v>84.94</v>
      </c>
      <c r="J41" s="7">
        <f t="shared" si="1"/>
        <v>23.759999999999998</v>
      </c>
    </row>
    <row r="42" spans="1:10" s="11" customFormat="1" x14ac:dyDescent="0.35">
      <c r="A42" s="2" t="s">
        <v>56</v>
      </c>
      <c r="B42" s="3">
        <v>45294</v>
      </c>
      <c r="C42" s="2" t="s">
        <v>15</v>
      </c>
      <c r="D42" s="2" t="s">
        <v>13</v>
      </c>
      <c r="E42" s="2">
        <v>2</v>
      </c>
      <c r="F42" s="2">
        <v>3.6</v>
      </c>
      <c r="G42" s="2" t="s">
        <v>8</v>
      </c>
      <c r="H42" s="4">
        <v>88.62</v>
      </c>
      <c r="I42" s="4">
        <v>129.72999999999999</v>
      </c>
      <c r="J42" s="4">
        <f t="shared" si="1"/>
        <v>41.109999999999985</v>
      </c>
    </row>
    <row r="43" spans="1:10" s="11" customFormat="1" x14ac:dyDescent="0.35">
      <c r="A43" s="5" t="s">
        <v>57</v>
      </c>
      <c r="B43" s="6">
        <v>45297</v>
      </c>
      <c r="C43" s="5" t="s">
        <v>6</v>
      </c>
      <c r="D43" s="5" t="s">
        <v>7</v>
      </c>
      <c r="E43" s="5">
        <v>4.8</v>
      </c>
      <c r="F43" s="5">
        <v>4</v>
      </c>
      <c r="G43" s="5" t="s">
        <v>17</v>
      </c>
      <c r="H43" s="7">
        <v>84.32</v>
      </c>
      <c r="I43" s="7">
        <v>120.97</v>
      </c>
      <c r="J43" s="7">
        <f t="shared" si="1"/>
        <v>36.650000000000006</v>
      </c>
    </row>
    <row r="44" spans="1:10" s="11" customFormat="1" x14ac:dyDescent="0.35">
      <c r="A44" s="5" t="s">
        <v>58</v>
      </c>
      <c r="B44" s="6">
        <v>45575</v>
      </c>
      <c r="C44" s="5" t="s">
        <v>24</v>
      </c>
      <c r="D44" s="5" t="s">
        <v>21</v>
      </c>
      <c r="E44" s="5">
        <v>0.6</v>
      </c>
      <c r="F44" s="5">
        <v>0.6</v>
      </c>
      <c r="G44" s="5" t="s">
        <v>17</v>
      </c>
      <c r="H44" s="7">
        <v>61.84</v>
      </c>
      <c r="I44" s="7">
        <v>103.91</v>
      </c>
      <c r="J44" s="7">
        <f t="shared" si="1"/>
        <v>42.069999999999993</v>
      </c>
    </row>
    <row r="45" spans="1:10" s="11" customFormat="1" x14ac:dyDescent="0.35">
      <c r="A45" s="5" t="s">
        <v>59</v>
      </c>
      <c r="B45" s="6">
        <v>45476</v>
      </c>
      <c r="C45" s="5" t="s">
        <v>24</v>
      </c>
      <c r="D45" s="5" t="s">
        <v>13</v>
      </c>
      <c r="E45" s="5">
        <v>1.2</v>
      </c>
      <c r="F45" s="5">
        <v>1.1000000000000001</v>
      </c>
      <c r="G45" s="5" t="s">
        <v>17</v>
      </c>
      <c r="H45" s="7">
        <v>64.989999999999995</v>
      </c>
      <c r="I45" s="7">
        <v>112.88</v>
      </c>
      <c r="J45" s="7">
        <f t="shared" si="1"/>
        <v>47.89</v>
      </c>
    </row>
    <row r="46" spans="1:10" s="11" customFormat="1" x14ac:dyDescent="0.35">
      <c r="A46" s="5" t="s">
        <v>60</v>
      </c>
      <c r="B46" s="6">
        <v>45372</v>
      </c>
      <c r="C46" s="5" t="s">
        <v>24</v>
      </c>
      <c r="D46" s="5" t="s">
        <v>13</v>
      </c>
      <c r="E46" s="5">
        <v>1.5</v>
      </c>
      <c r="F46" s="5">
        <v>1.5</v>
      </c>
      <c r="G46" s="5" t="s">
        <v>17</v>
      </c>
      <c r="H46" s="7">
        <v>30.99</v>
      </c>
      <c r="I46" s="7">
        <v>50.15</v>
      </c>
      <c r="J46" s="7">
        <f t="shared" si="1"/>
        <v>19.16</v>
      </c>
    </row>
    <row r="47" spans="1:10" s="11" customFormat="1" x14ac:dyDescent="0.35">
      <c r="A47" s="5" t="s">
        <v>61</v>
      </c>
      <c r="B47" s="6">
        <v>45463</v>
      </c>
      <c r="C47" s="5" t="s">
        <v>12</v>
      </c>
      <c r="D47" s="5" t="s">
        <v>13</v>
      </c>
      <c r="E47" s="5">
        <v>1.3</v>
      </c>
      <c r="F47" s="5">
        <v>1.1000000000000001</v>
      </c>
      <c r="G47" s="5" t="s">
        <v>17</v>
      </c>
      <c r="H47" s="7">
        <v>83.61</v>
      </c>
      <c r="I47" s="7">
        <v>140.41</v>
      </c>
      <c r="J47" s="7">
        <f t="shared" si="1"/>
        <v>56.8</v>
      </c>
    </row>
    <row r="48" spans="1:10" s="11" customFormat="1" x14ac:dyDescent="0.35">
      <c r="A48" s="5" t="s">
        <v>62</v>
      </c>
      <c r="B48" s="6">
        <v>45406</v>
      </c>
      <c r="C48" s="5" t="s">
        <v>24</v>
      </c>
      <c r="D48" s="5" t="s">
        <v>21</v>
      </c>
      <c r="E48" s="5">
        <v>0.8</v>
      </c>
      <c r="F48" s="5">
        <v>0.8</v>
      </c>
      <c r="G48" s="5" t="s">
        <v>17</v>
      </c>
      <c r="H48" s="7">
        <v>38.92</v>
      </c>
      <c r="I48" s="7">
        <v>61.49</v>
      </c>
      <c r="J48" s="7">
        <f t="shared" si="1"/>
        <v>22.57</v>
      </c>
    </row>
    <row r="49" spans="1:10" s="11" customFormat="1" x14ac:dyDescent="0.35">
      <c r="A49" s="5" t="s">
        <v>63</v>
      </c>
      <c r="B49" s="6">
        <v>45497</v>
      </c>
      <c r="C49" s="5" t="s">
        <v>15</v>
      </c>
      <c r="D49" s="5" t="s">
        <v>16</v>
      </c>
      <c r="E49" s="5">
        <v>2.2999999999999998</v>
      </c>
      <c r="F49" s="5">
        <v>2</v>
      </c>
      <c r="G49" s="5" t="s">
        <v>17</v>
      </c>
      <c r="H49" s="7">
        <v>94.9</v>
      </c>
      <c r="I49" s="7">
        <v>137.59</v>
      </c>
      <c r="J49" s="7">
        <f t="shared" si="1"/>
        <v>42.69</v>
      </c>
    </row>
    <row r="50" spans="1:10" s="11" customFormat="1" x14ac:dyDescent="0.35">
      <c r="A50" s="5" t="s">
        <v>64</v>
      </c>
      <c r="B50" s="6">
        <v>45567</v>
      </c>
      <c r="C50" s="5" t="s">
        <v>15</v>
      </c>
      <c r="D50" s="5" t="s">
        <v>7</v>
      </c>
      <c r="E50" s="5">
        <v>1.2</v>
      </c>
      <c r="F50" s="5">
        <v>1</v>
      </c>
      <c r="G50" s="5" t="s">
        <v>17</v>
      </c>
      <c r="H50" s="7">
        <v>117.38</v>
      </c>
      <c r="I50" s="7">
        <v>162.31</v>
      </c>
      <c r="J50" s="7">
        <f t="shared" si="1"/>
        <v>44.930000000000007</v>
      </c>
    </row>
    <row r="51" spans="1:10" s="11" customFormat="1" x14ac:dyDescent="0.35">
      <c r="A51" s="5" t="s">
        <v>65</v>
      </c>
      <c r="B51" s="6">
        <v>45348</v>
      </c>
      <c r="C51" s="5" t="s">
        <v>12</v>
      </c>
      <c r="D51" s="5" t="s">
        <v>16</v>
      </c>
      <c r="E51" s="5">
        <v>1.7</v>
      </c>
      <c r="F51" s="5">
        <v>1.6</v>
      </c>
      <c r="G51" s="5" t="s">
        <v>17</v>
      </c>
      <c r="H51" s="7">
        <v>65.569999999999993</v>
      </c>
      <c r="I51" s="7">
        <v>94.59</v>
      </c>
      <c r="J51" s="7">
        <f t="shared" si="1"/>
        <v>29.02000000000001</v>
      </c>
    </row>
    <row r="52" spans="1:10" s="11" customFormat="1" x14ac:dyDescent="0.35">
      <c r="A52" s="5" t="s">
        <v>66</v>
      </c>
      <c r="B52" s="6">
        <v>45588</v>
      </c>
      <c r="C52" s="5" t="s">
        <v>24</v>
      </c>
      <c r="D52" s="5" t="s">
        <v>16</v>
      </c>
      <c r="E52" s="5">
        <v>0.5</v>
      </c>
      <c r="F52" s="5">
        <v>0.5</v>
      </c>
      <c r="G52" s="5" t="s">
        <v>17</v>
      </c>
      <c r="H52" s="7">
        <v>62.26</v>
      </c>
      <c r="I52" s="7">
        <v>99.21</v>
      </c>
      <c r="J52" s="7">
        <f t="shared" si="1"/>
        <v>36.949999999999996</v>
      </c>
    </row>
    <row r="53" spans="1:10" s="11" customFormat="1" x14ac:dyDescent="0.35">
      <c r="A53" s="5" t="s">
        <v>67</v>
      </c>
      <c r="B53" s="6">
        <v>45636</v>
      </c>
      <c r="C53" s="5" t="s">
        <v>24</v>
      </c>
      <c r="D53" s="5" t="s">
        <v>16</v>
      </c>
      <c r="E53" s="5">
        <v>0.9</v>
      </c>
      <c r="F53" s="5">
        <v>0.9</v>
      </c>
      <c r="G53" s="5" t="s">
        <v>17</v>
      </c>
      <c r="H53" s="7">
        <v>54.93</v>
      </c>
      <c r="I53" s="7">
        <v>86.88</v>
      </c>
      <c r="J53" s="7">
        <f t="shared" si="1"/>
        <v>31.949999999999996</v>
      </c>
    </row>
    <row r="54" spans="1:10" s="11" customFormat="1" x14ac:dyDescent="0.35">
      <c r="A54" s="5" t="s">
        <v>68</v>
      </c>
      <c r="B54" s="6">
        <v>45356</v>
      </c>
      <c r="C54" s="5" t="s">
        <v>15</v>
      </c>
      <c r="D54" s="5" t="s">
        <v>10</v>
      </c>
      <c r="E54" s="5">
        <v>1.5</v>
      </c>
      <c r="F54" s="5">
        <v>1.4</v>
      </c>
      <c r="G54" s="5" t="s">
        <v>17</v>
      </c>
      <c r="H54" s="7">
        <v>70.7</v>
      </c>
      <c r="I54" s="7">
        <v>92.87</v>
      </c>
      <c r="J54" s="7">
        <f t="shared" si="1"/>
        <v>22.17</v>
      </c>
    </row>
    <row r="55" spans="1:10" s="11" customFormat="1" x14ac:dyDescent="0.35">
      <c r="A55" s="5" t="s">
        <v>69</v>
      </c>
      <c r="B55" s="6">
        <v>45508</v>
      </c>
      <c r="C55" s="5" t="s">
        <v>12</v>
      </c>
      <c r="D55" s="5" t="s">
        <v>13</v>
      </c>
      <c r="E55" s="5">
        <v>1.6</v>
      </c>
      <c r="F55" s="5">
        <v>1.5</v>
      </c>
      <c r="G55" s="5" t="s">
        <v>17</v>
      </c>
      <c r="H55" s="7">
        <v>40.020000000000003</v>
      </c>
      <c r="I55" s="7">
        <v>55.77</v>
      </c>
      <c r="J55" s="7">
        <f t="shared" si="1"/>
        <v>15.75</v>
      </c>
    </row>
    <row r="56" spans="1:10" s="11" customFormat="1" x14ac:dyDescent="0.35">
      <c r="A56" s="5" t="s">
        <v>70</v>
      </c>
      <c r="B56" s="6">
        <v>45513</v>
      </c>
      <c r="C56" s="5" t="s">
        <v>15</v>
      </c>
      <c r="D56" s="5" t="s">
        <v>21</v>
      </c>
      <c r="E56" s="5">
        <v>1.7</v>
      </c>
      <c r="F56" s="5">
        <v>1.6</v>
      </c>
      <c r="G56" s="5" t="s">
        <v>17</v>
      </c>
      <c r="H56" s="7">
        <v>105.56</v>
      </c>
      <c r="I56" s="7">
        <v>182.61</v>
      </c>
      <c r="J56" s="7">
        <f t="shared" si="1"/>
        <v>77.050000000000011</v>
      </c>
    </row>
    <row r="57" spans="1:10" s="11" customFormat="1" x14ac:dyDescent="0.35">
      <c r="A57" s="5" t="s">
        <v>71</v>
      </c>
      <c r="B57" s="6">
        <v>45379</v>
      </c>
      <c r="C57" s="5" t="s">
        <v>6</v>
      </c>
      <c r="D57" s="5" t="s">
        <v>16</v>
      </c>
      <c r="E57" s="5">
        <v>3.5</v>
      </c>
      <c r="F57" s="5">
        <v>3.1</v>
      </c>
      <c r="G57" s="5" t="s">
        <v>17</v>
      </c>
      <c r="H57" s="7">
        <v>178.21</v>
      </c>
      <c r="I57" s="7">
        <v>289.69</v>
      </c>
      <c r="J57" s="7">
        <f t="shared" si="1"/>
        <v>111.47999999999999</v>
      </c>
    </row>
    <row r="58" spans="1:10" s="11" customFormat="1" x14ac:dyDescent="0.35">
      <c r="A58" s="2" t="s">
        <v>72</v>
      </c>
      <c r="B58" s="3">
        <v>45637</v>
      </c>
      <c r="C58" s="2" t="s">
        <v>15</v>
      </c>
      <c r="D58" s="2" t="s">
        <v>13</v>
      </c>
      <c r="E58" s="2">
        <v>2.2000000000000002</v>
      </c>
      <c r="F58" s="2">
        <v>2.8</v>
      </c>
      <c r="G58" s="2" t="s">
        <v>8</v>
      </c>
      <c r="H58" s="4">
        <v>118.88</v>
      </c>
      <c r="I58" s="4">
        <v>184.93</v>
      </c>
      <c r="J58" s="4">
        <f t="shared" si="1"/>
        <v>66.050000000000011</v>
      </c>
    </row>
    <row r="59" spans="1:10" s="11" customFormat="1" x14ac:dyDescent="0.35">
      <c r="A59" s="5" t="s">
        <v>73</v>
      </c>
      <c r="B59" s="6">
        <v>45330</v>
      </c>
      <c r="C59" s="5" t="s">
        <v>12</v>
      </c>
      <c r="D59" s="5" t="s">
        <v>21</v>
      </c>
      <c r="E59" s="5">
        <v>1.9</v>
      </c>
      <c r="F59" s="5">
        <v>1.9</v>
      </c>
      <c r="G59" s="5" t="s">
        <v>17</v>
      </c>
      <c r="H59" s="7">
        <v>59.2</v>
      </c>
      <c r="I59" s="7">
        <v>85.83</v>
      </c>
      <c r="J59" s="7">
        <f t="shared" si="1"/>
        <v>26.629999999999995</v>
      </c>
    </row>
    <row r="60" spans="1:10" s="11" customFormat="1" x14ac:dyDescent="0.35">
      <c r="A60" s="2" t="s">
        <v>74</v>
      </c>
      <c r="B60" s="3">
        <v>45368</v>
      </c>
      <c r="C60" s="2" t="s">
        <v>6</v>
      </c>
      <c r="D60" s="2" t="s">
        <v>7</v>
      </c>
      <c r="E60" s="2">
        <v>4.3</v>
      </c>
      <c r="F60" s="2">
        <v>6</v>
      </c>
      <c r="G60" s="2" t="s">
        <v>8</v>
      </c>
      <c r="H60" s="4">
        <v>163.51</v>
      </c>
      <c r="I60" s="4">
        <v>242.37</v>
      </c>
      <c r="J60" s="4">
        <f t="shared" si="1"/>
        <v>78.860000000000014</v>
      </c>
    </row>
    <row r="61" spans="1:10" s="11" customFormat="1" x14ac:dyDescent="0.35">
      <c r="A61" s="5" t="s">
        <v>75</v>
      </c>
      <c r="B61" s="6">
        <v>45578</v>
      </c>
      <c r="C61" s="5" t="s">
        <v>24</v>
      </c>
      <c r="D61" s="5" t="s">
        <v>7</v>
      </c>
      <c r="E61" s="5">
        <v>1</v>
      </c>
      <c r="F61" s="5">
        <v>1</v>
      </c>
      <c r="G61" s="5" t="s">
        <v>17</v>
      </c>
      <c r="H61" s="7">
        <v>69.52</v>
      </c>
      <c r="I61" s="7">
        <v>107.6</v>
      </c>
      <c r="J61" s="7">
        <f t="shared" si="1"/>
        <v>38.08</v>
      </c>
    </row>
    <row r="62" spans="1:10" s="11" customFormat="1" x14ac:dyDescent="0.35">
      <c r="A62" s="2" t="s">
        <v>76</v>
      </c>
      <c r="B62" s="3">
        <v>45519</v>
      </c>
      <c r="C62" s="2" t="s">
        <v>12</v>
      </c>
      <c r="D62" s="2" t="s">
        <v>10</v>
      </c>
      <c r="E62" s="2">
        <v>1.4</v>
      </c>
      <c r="F62" s="2">
        <v>3.2</v>
      </c>
      <c r="G62" s="2" t="s">
        <v>8</v>
      </c>
      <c r="H62" s="4">
        <v>62.5</v>
      </c>
      <c r="I62" s="4">
        <v>101.62</v>
      </c>
      <c r="J62" s="4">
        <f t="shared" si="1"/>
        <v>39.120000000000005</v>
      </c>
    </row>
    <row r="63" spans="1:10" s="11" customFormat="1" x14ac:dyDescent="0.35">
      <c r="A63" s="2" t="s">
        <v>77</v>
      </c>
      <c r="B63" s="3">
        <v>45619</v>
      </c>
      <c r="C63" s="2" t="s">
        <v>15</v>
      </c>
      <c r="D63" s="2" t="s">
        <v>10</v>
      </c>
      <c r="E63" s="2">
        <v>1.7</v>
      </c>
      <c r="F63" s="2">
        <v>2.9</v>
      </c>
      <c r="G63" s="2" t="s">
        <v>8</v>
      </c>
      <c r="H63" s="4">
        <v>99.95</v>
      </c>
      <c r="I63" s="4">
        <v>136.66</v>
      </c>
      <c r="J63" s="4">
        <f t="shared" si="1"/>
        <v>36.709999999999994</v>
      </c>
    </row>
    <row r="64" spans="1:10" s="11" customFormat="1" x14ac:dyDescent="0.35">
      <c r="A64" s="2" t="s">
        <v>78</v>
      </c>
      <c r="B64" s="3">
        <v>45464</v>
      </c>
      <c r="C64" s="2" t="s">
        <v>15</v>
      </c>
      <c r="D64" s="2" t="s">
        <v>10</v>
      </c>
      <c r="E64" s="2">
        <v>1.1000000000000001</v>
      </c>
      <c r="F64" s="2">
        <v>2.2000000000000002</v>
      </c>
      <c r="G64" s="2" t="s">
        <v>8</v>
      </c>
      <c r="H64" s="4">
        <v>60.7</v>
      </c>
      <c r="I64" s="4">
        <v>82.37</v>
      </c>
      <c r="J64" s="4">
        <f t="shared" si="1"/>
        <v>21.67</v>
      </c>
    </row>
    <row r="65" spans="1:10" s="11" customFormat="1" x14ac:dyDescent="0.35">
      <c r="A65" s="5" t="s">
        <v>79</v>
      </c>
      <c r="B65" s="6">
        <v>45505</v>
      </c>
      <c r="C65" s="5" t="s">
        <v>12</v>
      </c>
      <c r="D65" s="5" t="s">
        <v>16</v>
      </c>
      <c r="E65" s="5">
        <v>1.5</v>
      </c>
      <c r="F65" s="5">
        <v>1.3</v>
      </c>
      <c r="G65" s="5" t="s">
        <v>17</v>
      </c>
      <c r="H65" s="7">
        <v>61.01</v>
      </c>
      <c r="I65" s="7">
        <v>103.86</v>
      </c>
      <c r="J65" s="7">
        <f t="shared" si="1"/>
        <v>42.85</v>
      </c>
    </row>
    <row r="66" spans="1:10" s="11" customFormat="1" x14ac:dyDescent="0.35">
      <c r="A66" s="2" t="s">
        <v>80</v>
      </c>
      <c r="B66" s="3">
        <v>45592</v>
      </c>
      <c r="C66" s="2" t="s">
        <v>6</v>
      </c>
      <c r="D66" s="2" t="s">
        <v>10</v>
      </c>
      <c r="E66" s="2">
        <v>3.1</v>
      </c>
      <c r="F66" s="2">
        <v>4.0999999999999996</v>
      </c>
      <c r="G66" s="2" t="s">
        <v>8</v>
      </c>
      <c r="H66" s="4">
        <v>170.42</v>
      </c>
      <c r="I66" s="4">
        <v>285.75</v>
      </c>
      <c r="J66" s="4">
        <f t="shared" ref="J66:J97" si="2">I66-H66</f>
        <v>115.33000000000001</v>
      </c>
    </row>
    <row r="67" spans="1:10" s="11" customFormat="1" x14ac:dyDescent="0.35">
      <c r="A67" s="5" t="s">
        <v>81</v>
      </c>
      <c r="B67" s="6">
        <v>45507</v>
      </c>
      <c r="C67" s="5" t="s">
        <v>24</v>
      </c>
      <c r="D67" s="5" t="s">
        <v>21</v>
      </c>
      <c r="E67" s="5">
        <v>0.7</v>
      </c>
      <c r="F67" s="5">
        <v>0.6</v>
      </c>
      <c r="G67" s="5" t="s">
        <v>17</v>
      </c>
      <c r="H67" s="7">
        <v>43.45</v>
      </c>
      <c r="I67" s="7">
        <v>69.069999999999993</v>
      </c>
      <c r="J67" s="7">
        <f t="shared" si="2"/>
        <v>25.61999999999999</v>
      </c>
    </row>
    <row r="68" spans="1:10" s="11" customFormat="1" x14ac:dyDescent="0.35">
      <c r="A68" s="5" t="s">
        <v>82</v>
      </c>
      <c r="B68" s="6">
        <v>45500</v>
      </c>
      <c r="C68" s="5" t="s">
        <v>24</v>
      </c>
      <c r="D68" s="5" t="s">
        <v>21</v>
      </c>
      <c r="E68" s="5">
        <v>1.4</v>
      </c>
      <c r="F68" s="5">
        <v>1.3</v>
      </c>
      <c r="G68" s="5" t="s">
        <v>17</v>
      </c>
      <c r="H68" s="7">
        <v>66.28</v>
      </c>
      <c r="I68" s="7">
        <v>102.47</v>
      </c>
      <c r="J68" s="7">
        <f t="shared" si="2"/>
        <v>36.19</v>
      </c>
    </row>
    <row r="69" spans="1:10" s="11" customFormat="1" x14ac:dyDescent="0.35">
      <c r="A69" s="2" t="s">
        <v>83</v>
      </c>
      <c r="B69" s="3">
        <v>45632</v>
      </c>
      <c r="C69" s="2" t="s">
        <v>6</v>
      </c>
      <c r="D69" s="2" t="s">
        <v>7</v>
      </c>
      <c r="E69" s="2">
        <v>3.9</v>
      </c>
      <c r="F69" s="2">
        <v>5.0999999999999996</v>
      </c>
      <c r="G69" s="2" t="s">
        <v>8</v>
      </c>
      <c r="H69" s="4">
        <v>86.03</v>
      </c>
      <c r="I69" s="4">
        <v>123.84</v>
      </c>
      <c r="J69" s="4">
        <f t="shared" si="2"/>
        <v>37.81</v>
      </c>
    </row>
    <row r="70" spans="1:10" s="11" customFormat="1" x14ac:dyDescent="0.35">
      <c r="A70" s="5" t="s">
        <v>84</v>
      </c>
      <c r="B70" s="6">
        <v>45401</v>
      </c>
      <c r="C70" s="5" t="s">
        <v>12</v>
      </c>
      <c r="D70" s="5" t="s">
        <v>16</v>
      </c>
      <c r="E70" s="5">
        <v>1.3</v>
      </c>
      <c r="F70" s="5">
        <v>1.1000000000000001</v>
      </c>
      <c r="G70" s="5" t="s">
        <v>17</v>
      </c>
      <c r="H70" s="7">
        <v>87.56</v>
      </c>
      <c r="I70" s="7">
        <v>127.91</v>
      </c>
      <c r="J70" s="7">
        <f t="shared" si="2"/>
        <v>40.349999999999994</v>
      </c>
    </row>
    <row r="71" spans="1:10" s="11" customFormat="1" x14ac:dyDescent="0.35">
      <c r="A71" s="2" t="s">
        <v>85</v>
      </c>
      <c r="B71" s="3">
        <v>45334</v>
      </c>
      <c r="C71" s="2" t="s">
        <v>12</v>
      </c>
      <c r="D71" s="2" t="s">
        <v>7</v>
      </c>
      <c r="E71" s="2">
        <v>1.7</v>
      </c>
      <c r="F71" s="2">
        <v>3.6</v>
      </c>
      <c r="G71" s="2" t="s">
        <v>8</v>
      </c>
      <c r="H71" s="4">
        <v>51.21</v>
      </c>
      <c r="I71" s="4">
        <v>65.77</v>
      </c>
      <c r="J71" s="4">
        <f t="shared" si="2"/>
        <v>14.559999999999995</v>
      </c>
    </row>
    <row r="72" spans="1:10" s="11" customFormat="1" x14ac:dyDescent="0.35">
      <c r="A72" s="2" t="s">
        <v>86</v>
      </c>
      <c r="B72" s="3">
        <v>45626</v>
      </c>
      <c r="C72" s="2" t="s">
        <v>6</v>
      </c>
      <c r="D72" s="2" t="s">
        <v>7</v>
      </c>
      <c r="E72" s="2">
        <v>4.8</v>
      </c>
      <c r="F72" s="2">
        <v>5.3</v>
      </c>
      <c r="G72" s="2" t="s">
        <v>8</v>
      </c>
      <c r="H72" s="4">
        <v>98.29</v>
      </c>
      <c r="I72" s="4">
        <v>129.07</v>
      </c>
      <c r="J72" s="4">
        <f t="shared" si="2"/>
        <v>30.779999999999987</v>
      </c>
    </row>
    <row r="73" spans="1:10" s="11" customFormat="1" x14ac:dyDescent="0.35">
      <c r="A73" s="5" t="s">
        <v>87</v>
      </c>
      <c r="B73" s="6">
        <v>45635</v>
      </c>
      <c r="C73" s="5" t="s">
        <v>6</v>
      </c>
      <c r="D73" s="5" t="s">
        <v>10</v>
      </c>
      <c r="E73" s="5">
        <v>4.8</v>
      </c>
      <c r="F73" s="5">
        <v>4.0999999999999996</v>
      </c>
      <c r="G73" s="5" t="s">
        <v>17</v>
      </c>
      <c r="H73" s="7">
        <v>124.27</v>
      </c>
      <c r="I73" s="7">
        <v>192.98</v>
      </c>
      <c r="J73" s="7">
        <f t="shared" si="2"/>
        <v>68.709999999999994</v>
      </c>
    </row>
    <row r="74" spans="1:10" s="11" customFormat="1" x14ac:dyDescent="0.35">
      <c r="A74" s="2" t="s">
        <v>88</v>
      </c>
      <c r="B74" s="3">
        <v>45351</v>
      </c>
      <c r="C74" s="2" t="s">
        <v>24</v>
      </c>
      <c r="D74" s="2" t="s">
        <v>16</v>
      </c>
      <c r="E74" s="2">
        <v>0.6</v>
      </c>
      <c r="F74" s="2">
        <v>1.6</v>
      </c>
      <c r="G74" s="2" t="s">
        <v>8</v>
      </c>
      <c r="H74" s="4">
        <v>57.09</v>
      </c>
      <c r="I74" s="4">
        <v>98.71</v>
      </c>
      <c r="J74" s="4">
        <f t="shared" si="2"/>
        <v>41.61999999999999</v>
      </c>
    </row>
    <row r="75" spans="1:10" s="11" customFormat="1" x14ac:dyDescent="0.35">
      <c r="A75" s="5" t="s">
        <v>89</v>
      </c>
      <c r="B75" s="6">
        <v>45496</v>
      </c>
      <c r="C75" s="5" t="s">
        <v>24</v>
      </c>
      <c r="D75" s="5" t="s">
        <v>7</v>
      </c>
      <c r="E75" s="5">
        <v>1.1000000000000001</v>
      </c>
      <c r="F75" s="5">
        <v>0.9</v>
      </c>
      <c r="G75" s="5" t="s">
        <v>17</v>
      </c>
      <c r="H75" s="7">
        <v>57.89</v>
      </c>
      <c r="I75" s="7">
        <v>81.09</v>
      </c>
      <c r="J75" s="7">
        <f t="shared" si="2"/>
        <v>23.200000000000003</v>
      </c>
    </row>
    <row r="76" spans="1:10" s="11" customFormat="1" x14ac:dyDescent="0.35">
      <c r="A76" s="5" t="s">
        <v>90</v>
      </c>
      <c r="B76" s="6">
        <v>45643</v>
      </c>
      <c r="C76" s="5" t="s">
        <v>6</v>
      </c>
      <c r="D76" s="5" t="s">
        <v>10</v>
      </c>
      <c r="E76" s="5">
        <v>4.3</v>
      </c>
      <c r="F76" s="5">
        <v>3.9</v>
      </c>
      <c r="G76" s="5" t="s">
        <v>17</v>
      </c>
      <c r="H76" s="7">
        <v>124.47</v>
      </c>
      <c r="I76" s="7">
        <v>187.08</v>
      </c>
      <c r="J76" s="7">
        <f t="shared" si="2"/>
        <v>62.610000000000014</v>
      </c>
    </row>
    <row r="77" spans="1:10" s="11" customFormat="1" x14ac:dyDescent="0.35">
      <c r="A77" s="2" t="s">
        <v>91</v>
      </c>
      <c r="B77" s="3">
        <v>45467</v>
      </c>
      <c r="C77" s="2" t="s">
        <v>6</v>
      </c>
      <c r="D77" s="2" t="s">
        <v>21</v>
      </c>
      <c r="E77" s="2">
        <v>4.5</v>
      </c>
      <c r="F77" s="2">
        <v>6.4</v>
      </c>
      <c r="G77" s="2" t="s">
        <v>8</v>
      </c>
      <c r="H77" s="4">
        <v>156.27000000000001</v>
      </c>
      <c r="I77" s="4">
        <v>260.08999999999997</v>
      </c>
      <c r="J77" s="4">
        <f t="shared" si="2"/>
        <v>103.81999999999996</v>
      </c>
    </row>
    <row r="78" spans="1:10" s="11" customFormat="1" x14ac:dyDescent="0.35">
      <c r="A78" s="5" t="s">
        <v>92</v>
      </c>
      <c r="B78" s="6">
        <v>45655</v>
      </c>
      <c r="C78" s="5" t="s">
        <v>24</v>
      </c>
      <c r="D78" s="5" t="s">
        <v>21</v>
      </c>
      <c r="E78" s="5">
        <v>0.7</v>
      </c>
      <c r="F78" s="5">
        <v>0.7</v>
      </c>
      <c r="G78" s="5" t="s">
        <v>17</v>
      </c>
      <c r="H78" s="7">
        <v>54.64</v>
      </c>
      <c r="I78" s="7">
        <v>93.42</v>
      </c>
      <c r="J78" s="7">
        <f t="shared" si="2"/>
        <v>38.78</v>
      </c>
    </row>
    <row r="79" spans="1:10" s="11" customFormat="1" x14ac:dyDescent="0.35">
      <c r="A79" s="5" t="s">
        <v>93</v>
      </c>
      <c r="B79" s="6">
        <v>45540</v>
      </c>
      <c r="C79" s="5" t="s">
        <v>12</v>
      </c>
      <c r="D79" s="5" t="s">
        <v>21</v>
      </c>
      <c r="E79" s="5">
        <v>1.8</v>
      </c>
      <c r="F79" s="5">
        <v>1.6</v>
      </c>
      <c r="G79" s="5" t="s">
        <v>17</v>
      </c>
      <c r="H79" s="7">
        <v>52.27</v>
      </c>
      <c r="I79" s="7">
        <v>89.76</v>
      </c>
      <c r="J79" s="7">
        <f t="shared" si="2"/>
        <v>37.49</v>
      </c>
    </row>
    <row r="80" spans="1:10" s="11" customFormat="1" x14ac:dyDescent="0.35">
      <c r="A80" s="5" t="s">
        <v>94</v>
      </c>
      <c r="B80" s="6">
        <v>45435</v>
      </c>
      <c r="C80" s="5" t="s">
        <v>12</v>
      </c>
      <c r="D80" s="5" t="s">
        <v>13</v>
      </c>
      <c r="E80" s="5">
        <v>1.8</v>
      </c>
      <c r="F80" s="5">
        <v>1.7</v>
      </c>
      <c r="G80" s="5" t="s">
        <v>17</v>
      </c>
      <c r="H80" s="7">
        <v>56.82</v>
      </c>
      <c r="I80" s="7">
        <v>85.07</v>
      </c>
      <c r="J80" s="7">
        <f t="shared" si="2"/>
        <v>28.249999999999993</v>
      </c>
    </row>
    <row r="81" spans="1:10" s="11" customFormat="1" x14ac:dyDescent="0.35">
      <c r="A81" s="5" t="s">
        <v>95</v>
      </c>
      <c r="B81" s="6">
        <v>45459</v>
      </c>
      <c r="C81" s="5" t="s">
        <v>24</v>
      </c>
      <c r="D81" s="5" t="s">
        <v>21</v>
      </c>
      <c r="E81" s="5">
        <v>0.7</v>
      </c>
      <c r="F81" s="5">
        <v>0.6</v>
      </c>
      <c r="G81" s="5" t="s">
        <v>17</v>
      </c>
      <c r="H81" s="7">
        <v>65.209999999999994</v>
      </c>
      <c r="I81" s="7">
        <v>104.37</v>
      </c>
      <c r="J81" s="7">
        <f t="shared" si="2"/>
        <v>39.160000000000011</v>
      </c>
    </row>
    <row r="82" spans="1:10" s="11" customFormat="1" x14ac:dyDescent="0.35">
      <c r="A82" s="2" t="s">
        <v>96</v>
      </c>
      <c r="B82" s="3">
        <v>45434</v>
      </c>
      <c r="C82" s="2" t="s">
        <v>6</v>
      </c>
      <c r="D82" s="2" t="s">
        <v>10</v>
      </c>
      <c r="E82" s="2">
        <v>4.8</v>
      </c>
      <c r="F82" s="2">
        <v>6.4</v>
      </c>
      <c r="G82" s="2" t="s">
        <v>8</v>
      </c>
      <c r="H82" s="4">
        <v>138.63</v>
      </c>
      <c r="I82" s="4">
        <v>225.84</v>
      </c>
      <c r="J82" s="4">
        <f t="shared" si="2"/>
        <v>87.210000000000008</v>
      </c>
    </row>
    <row r="83" spans="1:10" s="11" customFormat="1" x14ac:dyDescent="0.35">
      <c r="A83" s="2" t="s">
        <v>97</v>
      </c>
      <c r="B83" s="3">
        <v>45646</v>
      </c>
      <c r="C83" s="2" t="s">
        <v>12</v>
      </c>
      <c r="D83" s="2" t="s">
        <v>21</v>
      </c>
      <c r="E83" s="2">
        <v>1.4</v>
      </c>
      <c r="F83" s="2">
        <v>2.2999999999999998</v>
      </c>
      <c r="G83" s="2" t="s">
        <v>8</v>
      </c>
      <c r="H83" s="4">
        <v>60.22</v>
      </c>
      <c r="I83" s="4">
        <v>82.6</v>
      </c>
      <c r="J83" s="4">
        <f t="shared" si="2"/>
        <v>22.379999999999995</v>
      </c>
    </row>
    <row r="84" spans="1:10" s="11" customFormat="1" x14ac:dyDescent="0.35">
      <c r="A84" s="8" t="s">
        <v>98</v>
      </c>
      <c r="B84" s="9">
        <v>45632</v>
      </c>
      <c r="C84" s="8" t="s">
        <v>15</v>
      </c>
      <c r="D84" s="8" t="s">
        <v>21</v>
      </c>
      <c r="E84" s="8">
        <v>1.8</v>
      </c>
      <c r="F84" s="8">
        <v>1.9</v>
      </c>
      <c r="G84" s="8" t="s">
        <v>17</v>
      </c>
      <c r="H84" s="10">
        <v>88.53</v>
      </c>
      <c r="I84" s="10">
        <v>126.24</v>
      </c>
      <c r="J84" s="10">
        <f t="shared" si="2"/>
        <v>37.709999999999994</v>
      </c>
    </row>
    <row r="85" spans="1:10" s="11" customFormat="1" x14ac:dyDescent="0.35">
      <c r="A85" s="2" t="s">
        <v>99</v>
      </c>
      <c r="B85" s="3">
        <v>45525</v>
      </c>
      <c r="C85" s="2" t="s">
        <v>15</v>
      </c>
      <c r="D85" s="2" t="s">
        <v>16</v>
      </c>
      <c r="E85" s="2">
        <v>1.4</v>
      </c>
      <c r="F85" s="2">
        <v>2.2000000000000002</v>
      </c>
      <c r="G85" s="2" t="s">
        <v>8</v>
      </c>
      <c r="H85" s="4">
        <v>58.37</v>
      </c>
      <c r="I85" s="4">
        <v>88.6</v>
      </c>
      <c r="J85" s="4">
        <f t="shared" si="2"/>
        <v>30.229999999999997</v>
      </c>
    </row>
    <row r="86" spans="1:10" s="11" customFormat="1" x14ac:dyDescent="0.35">
      <c r="A86" s="5" t="s">
        <v>100</v>
      </c>
      <c r="B86" s="6">
        <v>45646</v>
      </c>
      <c r="C86" s="5" t="s">
        <v>24</v>
      </c>
      <c r="D86" s="5" t="s">
        <v>13</v>
      </c>
      <c r="E86" s="5">
        <v>0.7</v>
      </c>
      <c r="F86" s="5">
        <v>0.7</v>
      </c>
      <c r="G86" s="5" t="s">
        <v>17</v>
      </c>
      <c r="H86" s="7">
        <v>69.06</v>
      </c>
      <c r="I86" s="7">
        <v>104.44</v>
      </c>
      <c r="J86" s="7">
        <f t="shared" si="2"/>
        <v>35.379999999999995</v>
      </c>
    </row>
    <row r="87" spans="1:10" s="11" customFormat="1" x14ac:dyDescent="0.35">
      <c r="A87" s="5" t="s">
        <v>101</v>
      </c>
      <c r="B87" s="6">
        <v>45437</v>
      </c>
      <c r="C87" s="5" t="s">
        <v>6</v>
      </c>
      <c r="D87" s="5" t="s">
        <v>13</v>
      </c>
      <c r="E87" s="5">
        <v>2.9</v>
      </c>
      <c r="F87" s="5">
        <v>2.5</v>
      </c>
      <c r="G87" s="5" t="s">
        <v>17</v>
      </c>
      <c r="H87" s="7">
        <v>164.96</v>
      </c>
      <c r="I87" s="7">
        <v>216.64</v>
      </c>
      <c r="J87" s="7">
        <f t="shared" si="2"/>
        <v>51.679999999999978</v>
      </c>
    </row>
    <row r="88" spans="1:10" s="11" customFormat="1" x14ac:dyDescent="0.35">
      <c r="A88" s="5" t="s">
        <v>102</v>
      </c>
      <c r="B88" s="6">
        <v>45316</v>
      </c>
      <c r="C88" s="5" t="s">
        <v>6</v>
      </c>
      <c r="D88" s="5" t="s">
        <v>10</v>
      </c>
      <c r="E88" s="5">
        <v>2.9</v>
      </c>
      <c r="F88" s="5">
        <v>2.8</v>
      </c>
      <c r="G88" s="5" t="s">
        <v>17</v>
      </c>
      <c r="H88" s="7">
        <v>170.34</v>
      </c>
      <c r="I88" s="7">
        <v>221.66</v>
      </c>
      <c r="J88" s="7">
        <f t="shared" si="2"/>
        <v>51.319999999999993</v>
      </c>
    </row>
    <row r="89" spans="1:10" s="11" customFormat="1" x14ac:dyDescent="0.35">
      <c r="A89" s="8" t="s">
        <v>103</v>
      </c>
      <c r="B89" s="9">
        <v>45299</v>
      </c>
      <c r="C89" s="8" t="s">
        <v>15</v>
      </c>
      <c r="D89" s="8" t="s">
        <v>21</v>
      </c>
      <c r="E89" s="8">
        <v>1.7</v>
      </c>
      <c r="F89" s="8">
        <v>1.8</v>
      </c>
      <c r="G89" s="8" t="s">
        <v>17</v>
      </c>
      <c r="H89" s="10">
        <v>67.67</v>
      </c>
      <c r="I89" s="10">
        <v>113.74</v>
      </c>
      <c r="J89" s="10">
        <f t="shared" si="2"/>
        <v>46.069999999999993</v>
      </c>
    </row>
    <row r="90" spans="1:10" s="11" customFormat="1" x14ac:dyDescent="0.35">
      <c r="A90" s="5" t="s">
        <v>104</v>
      </c>
      <c r="B90" s="6">
        <v>45351</v>
      </c>
      <c r="C90" s="5" t="s">
        <v>6</v>
      </c>
      <c r="D90" s="5" t="s">
        <v>21</v>
      </c>
      <c r="E90" s="5">
        <v>3.5</v>
      </c>
      <c r="F90" s="5">
        <v>3.4</v>
      </c>
      <c r="G90" s="5" t="s">
        <v>17</v>
      </c>
      <c r="H90" s="7">
        <v>98.21</v>
      </c>
      <c r="I90" s="7">
        <v>162.59</v>
      </c>
      <c r="J90" s="7">
        <f t="shared" si="2"/>
        <v>64.38000000000001</v>
      </c>
    </row>
    <row r="91" spans="1:10" s="11" customFormat="1" x14ac:dyDescent="0.35">
      <c r="A91" s="5" t="s">
        <v>105</v>
      </c>
      <c r="B91" s="6">
        <v>45448</v>
      </c>
      <c r="C91" s="5" t="s">
        <v>6</v>
      </c>
      <c r="D91" s="5" t="s">
        <v>13</v>
      </c>
      <c r="E91" s="5">
        <v>2.4</v>
      </c>
      <c r="F91" s="5">
        <v>2.2999999999999998</v>
      </c>
      <c r="G91" s="5" t="s">
        <v>17</v>
      </c>
      <c r="H91" s="7">
        <v>174.89</v>
      </c>
      <c r="I91" s="7">
        <v>238.35</v>
      </c>
      <c r="J91" s="7">
        <f t="shared" si="2"/>
        <v>63.460000000000008</v>
      </c>
    </row>
    <row r="92" spans="1:10" s="11" customFormat="1" x14ac:dyDescent="0.35">
      <c r="A92" s="2" t="s">
        <v>106</v>
      </c>
      <c r="B92" s="3">
        <v>45560</v>
      </c>
      <c r="C92" s="2" t="s">
        <v>12</v>
      </c>
      <c r="D92" s="2" t="s">
        <v>21</v>
      </c>
      <c r="E92" s="2">
        <v>1.9</v>
      </c>
      <c r="F92" s="2">
        <v>3.3</v>
      </c>
      <c r="G92" s="2" t="s">
        <v>8</v>
      </c>
      <c r="H92" s="4">
        <v>61.44</v>
      </c>
      <c r="I92" s="4">
        <v>94.27</v>
      </c>
      <c r="J92" s="4">
        <f t="shared" si="2"/>
        <v>32.83</v>
      </c>
    </row>
    <row r="93" spans="1:10" s="11" customFormat="1" x14ac:dyDescent="0.35">
      <c r="A93" s="2" t="s">
        <v>107</v>
      </c>
      <c r="B93" s="3">
        <v>45323</v>
      </c>
      <c r="C93" s="2" t="s">
        <v>6</v>
      </c>
      <c r="D93" s="2" t="s">
        <v>13</v>
      </c>
      <c r="E93" s="2">
        <v>3.9</v>
      </c>
      <c r="F93" s="2">
        <v>4.5</v>
      </c>
      <c r="G93" s="2" t="s">
        <v>8</v>
      </c>
      <c r="H93" s="4">
        <v>108.78</v>
      </c>
      <c r="I93" s="4">
        <v>166</v>
      </c>
      <c r="J93" s="4">
        <f t="shared" si="2"/>
        <v>57.22</v>
      </c>
    </row>
    <row r="94" spans="1:10" s="11" customFormat="1" x14ac:dyDescent="0.35">
      <c r="A94" s="5" t="s">
        <v>108</v>
      </c>
      <c r="B94" s="6">
        <v>45373</v>
      </c>
      <c r="C94" s="5" t="s">
        <v>6</v>
      </c>
      <c r="D94" s="5" t="s">
        <v>21</v>
      </c>
      <c r="E94" s="5">
        <v>3.4</v>
      </c>
      <c r="F94" s="5">
        <v>3</v>
      </c>
      <c r="G94" s="5" t="s">
        <v>17</v>
      </c>
      <c r="H94" s="7">
        <v>107.78</v>
      </c>
      <c r="I94" s="7">
        <v>172.82</v>
      </c>
      <c r="J94" s="7">
        <f t="shared" si="2"/>
        <v>65.039999999999992</v>
      </c>
    </row>
    <row r="95" spans="1:10" s="11" customFormat="1" x14ac:dyDescent="0.35">
      <c r="A95" s="5" t="s">
        <v>109</v>
      </c>
      <c r="B95" s="6">
        <v>45652</v>
      </c>
      <c r="C95" s="5" t="s">
        <v>12</v>
      </c>
      <c r="D95" s="5" t="s">
        <v>7</v>
      </c>
      <c r="E95" s="5">
        <v>1.7</v>
      </c>
      <c r="F95" s="5">
        <v>1.7</v>
      </c>
      <c r="G95" s="5" t="s">
        <v>17</v>
      </c>
      <c r="H95" s="7">
        <v>71.25</v>
      </c>
      <c r="I95" s="7">
        <v>112.62</v>
      </c>
      <c r="J95" s="7">
        <f t="shared" si="2"/>
        <v>41.370000000000005</v>
      </c>
    </row>
    <row r="96" spans="1:10" s="11" customFormat="1" x14ac:dyDescent="0.35">
      <c r="A96" s="5" t="s">
        <v>110</v>
      </c>
      <c r="B96" s="6">
        <v>45394</v>
      </c>
      <c r="C96" s="5" t="s">
        <v>12</v>
      </c>
      <c r="D96" s="5" t="s">
        <v>7</v>
      </c>
      <c r="E96" s="5">
        <v>1.5</v>
      </c>
      <c r="F96" s="5">
        <v>1.5</v>
      </c>
      <c r="G96" s="5" t="s">
        <v>17</v>
      </c>
      <c r="H96" s="7">
        <v>81.33</v>
      </c>
      <c r="I96" s="7">
        <v>104.57</v>
      </c>
      <c r="J96" s="7">
        <f t="shared" si="2"/>
        <v>23.239999999999995</v>
      </c>
    </row>
    <row r="97" spans="1:10" s="11" customFormat="1" x14ac:dyDescent="0.35">
      <c r="A97" s="5" t="s">
        <v>111</v>
      </c>
      <c r="B97" s="6">
        <v>45377</v>
      </c>
      <c r="C97" s="5" t="s">
        <v>15</v>
      </c>
      <c r="D97" s="5" t="s">
        <v>10</v>
      </c>
      <c r="E97" s="5">
        <v>2.1</v>
      </c>
      <c r="F97" s="5">
        <v>1.8</v>
      </c>
      <c r="G97" s="5" t="s">
        <v>17</v>
      </c>
      <c r="H97" s="7">
        <v>58.7</v>
      </c>
      <c r="I97" s="7">
        <v>93.59</v>
      </c>
      <c r="J97" s="7">
        <f t="shared" si="2"/>
        <v>34.89</v>
      </c>
    </row>
    <row r="98" spans="1:10" s="11" customFormat="1" x14ac:dyDescent="0.35">
      <c r="A98" s="5" t="s">
        <v>112</v>
      </c>
      <c r="B98" s="6">
        <v>45651</v>
      </c>
      <c r="C98" s="5" t="s">
        <v>12</v>
      </c>
      <c r="D98" s="5" t="s">
        <v>16</v>
      </c>
      <c r="E98" s="5">
        <v>1.5</v>
      </c>
      <c r="F98" s="5">
        <v>1.2</v>
      </c>
      <c r="G98" s="5" t="s">
        <v>17</v>
      </c>
      <c r="H98" s="7">
        <v>41.99</v>
      </c>
      <c r="I98" s="7">
        <v>61.56</v>
      </c>
      <c r="J98" s="7">
        <f t="shared" ref="J98:J129" si="3">I98-H98</f>
        <v>19.57</v>
      </c>
    </row>
    <row r="99" spans="1:10" s="11" customFormat="1" x14ac:dyDescent="0.35">
      <c r="A99" s="5" t="s">
        <v>113</v>
      </c>
      <c r="B99" s="6">
        <v>45458</v>
      </c>
      <c r="C99" s="5" t="s">
        <v>15</v>
      </c>
      <c r="D99" s="5" t="s">
        <v>7</v>
      </c>
      <c r="E99" s="5">
        <v>1.1000000000000001</v>
      </c>
      <c r="F99" s="5">
        <v>1.1000000000000001</v>
      </c>
      <c r="G99" s="5" t="s">
        <v>17</v>
      </c>
      <c r="H99" s="7">
        <v>90.26</v>
      </c>
      <c r="I99" s="7">
        <v>155.72999999999999</v>
      </c>
      <c r="J99" s="7">
        <f t="shared" si="3"/>
        <v>65.469999999999985</v>
      </c>
    </row>
    <row r="100" spans="1:10" s="11" customFormat="1" x14ac:dyDescent="0.35">
      <c r="A100" s="5" t="s">
        <v>114</v>
      </c>
      <c r="B100" s="6">
        <v>45637</v>
      </c>
      <c r="C100" s="5" t="s">
        <v>15</v>
      </c>
      <c r="D100" s="5" t="s">
        <v>10</v>
      </c>
      <c r="E100" s="5">
        <v>1.1000000000000001</v>
      </c>
      <c r="F100" s="5">
        <v>1</v>
      </c>
      <c r="G100" s="5" t="s">
        <v>17</v>
      </c>
      <c r="H100" s="7">
        <v>95.61</v>
      </c>
      <c r="I100" s="7">
        <v>163.31</v>
      </c>
      <c r="J100" s="7">
        <f t="shared" si="3"/>
        <v>67.7</v>
      </c>
    </row>
    <row r="101" spans="1:10" s="11" customFormat="1" x14ac:dyDescent="0.35">
      <c r="A101" s="5" t="s">
        <v>115</v>
      </c>
      <c r="B101" s="6">
        <v>45385</v>
      </c>
      <c r="C101" s="5" t="s">
        <v>12</v>
      </c>
      <c r="D101" s="5" t="s">
        <v>21</v>
      </c>
      <c r="E101" s="5">
        <v>2</v>
      </c>
      <c r="F101" s="5">
        <v>1.8</v>
      </c>
      <c r="G101" s="5" t="s">
        <v>17</v>
      </c>
      <c r="H101" s="7">
        <v>56.05</v>
      </c>
      <c r="I101" s="7">
        <v>72.989999999999995</v>
      </c>
      <c r="J101" s="7">
        <f t="shared" si="3"/>
        <v>16.939999999999998</v>
      </c>
    </row>
    <row r="102" spans="1:10" s="11" customFormat="1" x14ac:dyDescent="0.35">
      <c r="A102" s="2" t="s">
        <v>116</v>
      </c>
      <c r="B102" s="3">
        <v>45375</v>
      </c>
      <c r="C102" s="2" t="s">
        <v>15</v>
      </c>
      <c r="D102" s="2" t="s">
        <v>21</v>
      </c>
      <c r="E102" s="2">
        <v>2</v>
      </c>
      <c r="F102" s="2">
        <v>3.9</v>
      </c>
      <c r="G102" s="2" t="s">
        <v>8</v>
      </c>
      <c r="H102" s="4">
        <v>106.95</v>
      </c>
      <c r="I102" s="4">
        <v>163.1</v>
      </c>
      <c r="J102" s="4">
        <f t="shared" si="3"/>
        <v>56.149999999999991</v>
      </c>
    </row>
    <row r="103" spans="1:10" s="11" customFormat="1" x14ac:dyDescent="0.35">
      <c r="A103" s="2" t="s">
        <v>117</v>
      </c>
      <c r="B103" s="3">
        <v>45525</v>
      </c>
      <c r="C103" s="2" t="s">
        <v>6</v>
      </c>
      <c r="D103" s="2" t="s">
        <v>16</v>
      </c>
      <c r="E103" s="2">
        <v>2.8</v>
      </c>
      <c r="F103" s="2">
        <v>4.5</v>
      </c>
      <c r="G103" s="2" t="s">
        <v>8</v>
      </c>
      <c r="H103" s="4">
        <v>183.79</v>
      </c>
      <c r="I103" s="4">
        <v>305.54000000000002</v>
      </c>
      <c r="J103" s="4">
        <f t="shared" si="3"/>
        <v>121.75000000000003</v>
      </c>
    </row>
    <row r="104" spans="1:10" s="11" customFormat="1" x14ac:dyDescent="0.35">
      <c r="A104" s="5" t="s">
        <v>118</v>
      </c>
      <c r="B104" s="6">
        <v>45293</v>
      </c>
      <c r="C104" s="5" t="s">
        <v>12</v>
      </c>
      <c r="D104" s="5" t="s">
        <v>21</v>
      </c>
      <c r="E104" s="5">
        <v>1.1000000000000001</v>
      </c>
      <c r="F104" s="5">
        <v>1.1000000000000001</v>
      </c>
      <c r="G104" s="5" t="s">
        <v>17</v>
      </c>
      <c r="H104" s="7">
        <v>64.92</v>
      </c>
      <c r="I104" s="7">
        <v>95.5</v>
      </c>
      <c r="J104" s="7">
        <f t="shared" si="3"/>
        <v>30.58</v>
      </c>
    </row>
    <row r="105" spans="1:10" s="11" customFormat="1" x14ac:dyDescent="0.35">
      <c r="A105" s="5" t="s">
        <v>119</v>
      </c>
      <c r="B105" s="6">
        <v>45319</v>
      </c>
      <c r="C105" s="5" t="s">
        <v>24</v>
      </c>
      <c r="D105" s="5" t="s">
        <v>16</v>
      </c>
      <c r="E105" s="5">
        <v>1</v>
      </c>
      <c r="F105" s="5">
        <v>0.9</v>
      </c>
      <c r="G105" s="5" t="s">
        <v>17</v>
      </c>
      <c r="H105" s="7">
        <v>57.93</v>
      </c>
      <c r="I105" s="7">
        <v>75.930000000000007</v>
      </c>
      <c r="J105" s="7">
        <f t="shared" si="3"/>
        <v>18.000000000000007</v>
      </c>
    </row>
    <row r="106" spans="1:10" s="11" customFormat="1" x14ac:dyDescent="0.35">
      <c r="A106" s="2" t="s">
        <v>120</v>
      </c>
      <c r="B106" s="3">
        <v>45615</v>
      </c>
      <c r="C106" s="2" t="s">
        <v>24</v>
      </c>
      <c r="D106" s="2" t="s">
        <v>13</v>
      </c>
      <c r="E106" s="2">
        <v>0.8</v>
      </c>
      <c r="F106" s="2">
        <v>1.9</v>
      </c>
      <c r="G106" s="2" t="s">
        <v>8</v>
      </c>
      <c r="H106" s="4">
        <v>38.99</v>
      </c>
      <c r="I106" s="4">
        <v>65.14</v>
      </c>
      <c r="J106" s="4">
        <f t="shared" si="3"/>
        <v>26.15</v>
      </c>
    </row>
    <row r="107" spans="1:10" s="11" customFormat="1" x14ac:dyDescent="0.35">
      <c r="A107" s="2" t="s">
        <v>121</v>
      </c>
      <c r="B107" s="3">
        <v>45351</v>
      </c>
      <c r="C107" s="2" t="s">
        <v>12</v>
      </c>
      <c r="D107" s="2" t="s">
        <v>7</v>
      </c>
      <c r="E107" s="2">
        <v>1.6</v>
      </c>
      <c r="F107" s="2">
        <v>3.5</v>
      </c>
      <c r="G107" s="2" t="s">
        <v>8</v>
      </c>
      <c r="H107" s="4">
        <v>54.59</v>
      </c>
      <c r="I107" s="4">
        <v>87.49</v>
      </c>
      <c r="J107" s="4">
        <f t="shared" si="3"/>
        <v>32.899999999999991</v>
      </c>
    </row>
    <row r="108" spans="1:10" s="11" customFormat="1" x14ac:dyDescent="0.35">
      <c r="A108" s="5" t="s">
        <v>122</v>
      </c>
      <c r="B108" s="6">
        <v>45505</v>
      </c>
      <c r="C108" s="5" t="s">
        <v>12</v>
      </c>
      <c r="D108" s="5" t="s">
        <v>21</v>
      </c>
      <c r="E108" s="5">
        <v>1.2</v>
      </c>
      <c r="F108" s="5">
        <v>1.1000000000000001</v>
      </c>
      <c r="G108" s="5" t="s">
        <v>17</v>
      </c>
      <c r="H108" s="7">
        <v>86.09</v>
      </c>
      <c r="I108" s="7">
        <v>129.49</v>
      </c>
      <c r="J108" s="7">
        <f t="shared" si="3"/>
        <v>43.400000000000006</v>
      </c>
    </row>
    <row r="109" spans="1:10" s="11" customFormat="1" x14ac:dyDescent="0.35">
      <c r="A109" s="5" t="s">
        <v>123</v>
      </c>
      <c r="B109" s="6">
        <v>45362</v>
      </c>
      <c r="C109" s="5" t="s">
        <v>6</v>
      </c>
      <c r="D109" s="5" t="s">
        <v>16</v>
      </c>
      <c r="E109" s="5">
        <v>4.3</v>
      </c>
      <c r="F109" s="5">
        <v>3.8</v>
      </c>
      <c r="G109" s="5" t="s">
        <v>17</v>
      </c>
      <c r="H109" s="7">
        <v>174.53</v>
      </c>
      <c r="I109" s="7">
        <v>241.48</v>
      </c>
      <c r="J109" s="7">
        <f t="shared" si="3"/>
        <v>66.949999999999989</v>
      </c>
    </row>
    <row r="110" spans="1:10" s="11" customFormat="1" x14ac:dyDescent="0.35">
      <c r="A110" s="5" t="s">
        <v>124</v>
      </c>
      <c r="B110" s="6">
        <v>45294</v>
      </c>
      <c r="C110" s="5" t="s">
        <v>15</v>
      </c>
      <c r="D110" s="5" t="s">
        <v>16</v>
      </c>
      <c r="E110" s="5">
        <v>2.2999999999999998</v>
      </c>
      <c r="F110" s="5">
        <v>2.2000000000000002</v>
      </c>
      <c r="G110" s="5" t="s">
        <v>17</v>
      </c>
      <c r="H110" s="7">
        <v>110.57</v>
      </c>
      <c r="I110" s="7">
        <v>162.9</v>
      </c>
      <c r="J110" s="7">
        <f t="shared" si="3"/>
        <v>52.330000000000013</v>
      </c>
    </row>
    <row r="111" spans="1:10" s="11" customFormat="1" x14ac:dyDescent="0.35">
      <c r="A111" s="5" t="s">
        <v>125</v>
      </c>
      <c r="B111" s="6">
        <v>45540</v>
      </c>
      <c r="C111" s="5" t="s">
        <v>15</v>
      </c>
      <c r="D111" s="5" t="s">
        <v>16</v>
      </c>
      <c r="E111" s="5">
        <v>1.8</v>
      </c>
      <c r="F111" s="5">
        <v>1.6</v>
      </c>
      <c r="G111" s="5" t="s">
        <v>17</v>
      </c>
      <c r="H111" s="7">
        <v>72.52</v>
      </c>
      <c r="I111" s="7">
        <v>97.49</v>
      </c>
      <c r="J111" s="7">
        <f t="shared" si="3"/>
        <v>24.97</v>
      </c>
    </row>
    <row r="112" spans="1:10" s="11" customFormat="1" x14ac:dyDescent="0.35">
      <c r="A112" s="5" t="s">
        <v>126</v>
      </c>
      <c r="B112" s="6">
        <v>45650</v>
      </c>
      <c r="C112" s="5" t="s">
        <v>24</v>
      </c>
      <c r="D112" s="5" t="s">
        <v>10</v>
      </c>
      <c r="E112" s="5">
        <v>0.9</v>
      </c>
      <c r="F112" s="5">
        <v>0.8</v>
      </c>
      <c r="G112" s="5" t="s">
        <v>17</v>
      </c>
      <c r="H112" s="7">
        <v>42.73</v>
      </c>
      <c r="I112" s="7">
        <v>63.52</v>
      </c>
      <c r="J112" s="7">
        <f t="shared" si="3"/>
        <v>20.790000000000006</v>
      </c>
    </row>
    <row r="113" spans="1:10" s="11" customFormat="1" x14ac:dyDescent="0.35">
      <c r="A113" s="2" t="s">
        <v>127</v>
      </c>
      <c r="B113" s="3">
        <v>45488</v>
      </c>
      <c r="C113" s="2" t="s">
        <v>12</v>
      </c>
      <c r="D113" s="2" t="s">
        <v>13</v>
      </c>
      <c r="E113" s="2">
        <v>1.5</v>
      </c>
      <c r="F113" s="2">
        <v>2.8</v>
      </c>
      <c r="G113" s="2" t="s">
        <v>8</v>
      </c>
      <c r="H113" s="4">
        <v>69.510000000000005</v>
      </c>
      <c r="I113" s="4">
        <v>117.11</v>
      </c>
      <c r="J113" s="4">
        <f t="shared" si="3"/>
        <v>47.599999999999994</v>
      </c>
    </row>
    <row r="114" spans="1:10" s="11" customFormat="1" x14ac:dyDescent="0.35">
      <c r="A114" s="2" t="s">
        <v>128</v>
      </c>
      <c r="B114" s="3">
        <v>45518</v>
      </c>
      <c r="C114" s="2" t="s">
        <v>6</v>
      </c>
      <c r="D114" s="2" t="s">
        <v>10</v>
      </c>
      <c r="E114" s="2">
        <v>4.7</v>
      </c>
      <c r="F114" s="2">
        <v>5.4</v>
      </c>
      <c r="G114" s="2" t="s">
        <v>8</v>
      </c>
      <c r="H114" s="4">
        <v>184.51</v>
      </c>
      <c r="I114" s="4">
        <v>320.12</v>
      </c>
      <c r="J114" s="4">
        <f t="shared" si="3"/>
        <v>135.61000000000001</v>
      </c>
    </row>
    <row r="115" spans="1:10" s="11" customFormat="1" x14ac:dyDescent="0.35">
      <c r="A115" s="5" t="s">
        <v>129</v>
      </c>
      <c r="B115" s="6">
        <v>45331</v>
      </c>
      <c r="C115" s="5" t="s">
        <v>12</v>
      </c>
      <c r="D115" s="5" t="s">
        <v>16</v>
      </c>
      <c r="E115" s="5">
        <v>1.3</v>
      </c>
      <c r="F115" s="5">
        <v>1.3</v>
      </c>
      <c r="G115" s="5" t="s">
        <v>17</v>
      </c>
      <c r="H115" s="7">
        <v>82.59</v>
      </c>
      <c r="I115" s="7">
        <v>138.43</v>
      </c>
      <c r="J115" s="7">
        <f t="shared" si="3"/>
        <v>55.84</v>
      </c>
    </row>
    <row r="116" spans="1:10" s="11" customFormat="1" x14ac:dyDescent="0.35">
      <c r="A116" s="5" t="s">
        <v>130</v>
      </c>
      <c r="B116" s="6">
        <v>45566</v>
      </c>
      <c r="C116" s="5" t="s">
        <v>12</v>
      </c>
      <c r="D116" s="5" t="s">
        <v>16</v>
      </c>
      <c r="E116" s="5">
        <v>1.6</v>
      </c>
      <c r="F116" s="5">
        <v>1.5</v>
      </c>
      <c r="G116" s="5" t="s">
        <v>17</v>
      </c>
      <c r="H116" s="7">
        <v>67.05</v>
      </c>
      <c r="I116" s="7">
        <v>104.51</v>
      </c>
      <c r="J116" s="7">
        <f t="shared" si="3"/>
        <v>37.460000000000008</v>
      </c>
    </row>
    <row r="117" spans="1:10" s="11" customFormat="1" x14ac:dyDescent="0.35">
      <c r="A117" s="5" t="s">
        <v>131</v>
      </c>
      <c r="B117" s="6">
        <v>45413</v>
      </c>
      <c r="C117" s="5" t="s">
        <v>15</v>
      </c>
      <c r="D117" s="5" t="s">
        <v>13</v>
      </c>
      <c r="E117" s="5">
        <v>2.1</v>
      </c>
      <c r="F117" s="5">
        <v>1.7</v>
      </c>
      <c r="G117" s="5" t="s">
        <v>17</v>
      </c>
      <c r="H117" s="7">
        <v>94.36</v>
      </c>
      <c r="I117" s="7">
        <v>159.12</v>
      </c>
      <c r="J117" s="7">
        <f t="shared" si="3"/>
        <v>64.760000000000005</v>
      </c>
    </row>
    <row r="118" spans="1:10" s="11" customFormat="1" x14ac:dyDescent="0.35">
      <c r="A118" s="2" t="s">
        <v>132</v>
      </c>
      <c r="B118" s="3">
        <v>45520</v>
      </c>
      <c r="C118" s="2" t="s">
        <v>24</v>
      </c>
      <c r="D118" s="2" t="s">
        <v>16</v>
      </c>
      <c r="E118" s="2">
        <v>1.4</v>
      </c>
      <c r="F118" s="2">
        <v>3.1</v>
      </c>
      <c r="G118" s="2" t="s">
        <v>8</v>
      </c>
      <c r="H118" s="4">
        <v>41.73</v>
      </c>
      <c r="I118" s="4">
        <v>59.98</v>
      </c>
      <c r="J118" s="4">
        <f t="shared" si="3"/>
        <v>18.25</v>
      </c>
    </row>
    <row r="119" spans="1:10" s="11" customFormat="1" x14ac:dyDescent="0.35">
      <c r="A119" s="5" t="s">
        <v>133</v>
      </c>
      <c r="B119" s="6">
        <v>45367</v>
      </c>
      <c r="C119" s="5" t="s">
        <v>24</v>
      </c>
      <c r="D119" s="5" t="s">
        <v>10</v>
      </c>
      <c r="E119" s="5">
        <v>0.9</v>
      </c>
      <c r="F119" s="5">
        <v>0.8</v>
      </c>
      <c r="G119" s="5" t="s">
        <v>17</v>
      </c>
      <c r="H119" s="7">
        <v>37</v>
      </c>
      <c r="I119" s="7">
        <v>57.53</v>
      </c>
      <c r="J119" s="7">
        <f t="shared" si="3"/>
        <v>20.53</v>
      </c>
    </row>
    <row r="120" spans="1:10" s="11" customFormat="1" x14ac:dyDescent="0.35">
      <c r="A120" s="2" t="s">
        <v>134</v>
      </c>
      <c r="B120" s="3">
        <v>45488</v>
      </c>
      <c r="C120" s="2" t="s">
        <v>24</v>
      </c>
      <c r="D120" s="2" t="s">
        <v>21</v>
      </c>
      <c r="E120" s="2">
        <v>1.4</v>
      </c>
      <c r="F120" s="2">
        <v>2.6</v>
      </c>
      <c r="G120" s="2" t="s">
        <v>8</v>
      </c>
      <c r="H120" s="4">
        <v>40.159999999999997</v>
      </c>
      <c r="I120" s="4">
        <v>55.33</v>
      </c>
      <c r="J120" s="4">
        <f t="shared" si="3"/>
        <v>15.170000000000002</v>
      </c>
    </row>
    <row r="121" spans="1:10" s="11" customFormat="1" x14ac:dyDescent="0.35">
      <c r="A121" s="2" t="s">
        <v>135</v>
      </c>
      <c r="B121" s="3">
        <v>45297</v>
      </c>
      <c r="C121" s="2" t="s">
        <v>12</v>
      </c>
      <c r="D121" s="2" t="s">
        <v>16</v>
      </c>
      <c r="E121" s="2">
        <v>1.7</v>
      </c>
      <c r="F121" s="2">
        <v>2.9</v>
      </c>
      <c r="G121" s="2" t="s">
        <v>8</v>
      </c>
      <c r="H121" s="4">
        <v>57.28</v>
      </c>
      <c r="I121" s="4">
        <v>88.43</v>
      </c>
      <c r="J121" s="4">
        <f t="shared" si="3"/>
        <v>31.150000000000006</v>
      </c>
    </row>
    <row r="122" spans="1:10" s="11" customFormat="1" x14ac:dyDescent="0.35">
      <c r="A122" s="8" t="s">
        <v>136</v>
      </c>
      <c r="B122" s="9">
        <v>45620</v>
      </c>
      <c r="C122" s="8" t="s">
        <v>12</v>
      </c>
      <c r="D122" s="8" t="s">
        <v>16</v>
      </c>
      <c r="E122" s="8">
        <v>1.5</v>
      </c>
      <c r="F122" s="8">
        <v>1.6</v>
      </c>
      <c r="G122" s="8" t="s">
        <v>17</v>
      </c>
      <c r="H122" s="10">
        <v>82.67</v>
      </c>
      <c r="I122" s="10">
        <v>107.75</v>
      </c>
      <c r="J122" s="10">
        <f t="shared" si="3"/>
        <v>25.08</v>
      </c>
    </row>
    <row r="123" spans="1:10" s="11" customFormat="1" x14ac:dyDescent="0.35">
      <c r="A123" s="5" t="s">
        <v>137</v>
      </c>
      <c r="B123" s="6">
        <v>45488</v>
      </c>
      <c r="C123" s="5" t="s">
        <v>15</v>
      </c>
      <c r="D123" s="5" t="s">
        <v>10</v>
      </c>
      <c r="E123" s="5">
        <v>1.4</v>
      </c>
      <c r="F123" s="5">
        <v>1.1000000000000001</v>
      </c>
      <c r="G123" s="5" t="s">
        <v>17</v>
      </c>
      <c r="H123" s="7">
        <v>108.1</v>
      </c>
      <c r="I123" s="7">
        <v>156.52000000000001</v>
      </c>
      <c r="J123" s="7">
        <f t="shared" si="3"/>
        <v>48.420000000000016</v>
      </c>
    </row>
    <row r="124" spans="1:10" s="11" customFormat="1" x14ac:dyDescent="0.35">
      <c r="A124" s="8" t="s">
        <v>138</v>
      </c>
      <c r="B124" s="9">
        <v>45297</v>
      </c>
      <c r="C124" s="8" t="s">
        <v>6</v>
      </c>
      <c r="D124" s="8" t="s">
        <v>10</v>
      </c>
      <c r="E124" s="8">
        <v>4.2</v>
      </c>
      <c r="F124" s="8">
        <v>4.3</v>
      </c>
      <c r="G124" s="8" t="s">
        <v>17</v>
      </c>
      <c r="H124" s="10">
        <v>173.09</v>
      </c>
      <c r="I124" s="10">
        <v>236.28</v>
      </c>
      <c r="J124" s="10">
        <f t="shared" si="3"/>
        <v>63.19</v>
      </c>
    </row>
    <row r="125" spans="1:10" s="11" customFormat="1" x14ac:dyDescent="0.35">
      <c r="A125" s="5" t="s">
        <v>139</v>
      </c>
      <c r="B125" s="6">
        <v>45473</v>
      </c>
      <c r="C125" s="5" t="s">
        <v>24</v>
      </c>
      <c r="D125" s="5" t="s">
        <v>13</v>
      </c>
      <c r="E125" s="5">
        <v>1.1000000000000001</v>
      </c>
      <c r="F125" s="5">
        <v>1.1000000000000001</v>
      </c>
      <c r="G125" s="5" t="s">
        <v>17</v>
      </c>
      <c r="H125" s="7">
        <v>56.37</v>
      </c>
      <c r="I125" s="7">
        <v>94.09</v>
      </c>
      <c r="J125" s="7">
        <f t="shared" si="3"/>
        <v>37.720000000000006</v>
      </c>
    </row>
    <row r="126" spans="1:10" s="11" customFormat="1" x14ac:dyDescent="0.35">
      <c r="A126" s="5" t="s">
        <v>140</v>
      </c>
      <c r="B126" s="6">
        <v>45614</v>
      </c>
      <c r="C126" s="5" t="s">
        <v>6</v>
      </c>
      <c r="D126" s="5" t="s">
        <v>7</v>
      </c>
      <c r="E126" s="5">
        <v>2.9</v>
      </c>
      <c r="F126" s="5">
        <v>2.7</v>
      </c>
      <c r="G126" s="5" t="s">
        <v>17</v>
      </c>
      <c r="H126" s="7">
        <v>167.88</v>
      </c>
      <c r="I126" s="7">
        <v>217.42</v>
      </c>
      <c r="J126" s="7">
        <f t="shared" si="3"/>
        <v>49.539999999999992</v>
      </c>
    </row>
    <row r="127" spans="1:10" s="11" customFormat="1" x14ac:dyDescent="0.35">
      <c r="A127" s="2" t="s">
        <v>141</v>
      </c>
      <c r="B127" s="3">
        <v>45444</v>
      </c>
      <c r="C127" s="2" t="s">
        <v>15</v>
      </c>
      <c r="D127" s="2" t="s">
        <v>21</v>
      </c>
      <c r="E127" s="2">
        <v>1.3</v>
      </c>
      <c r="F127" s="2">
        <v>2.6</v>
      </c>
      <c r="G127" s="2" t="s">
        <v>8</v>
      </c>
      <c r="H127" s="4">
        <v>118</v>
      </c>
      <c r="I127" s="4">
        <v>178.82</v>
      </c>
      <c r="J127" s="4">
        <f t="shared" si="3"/>
        <v>60.819999999999993</v>
      </c>
    </row>
    <row r="128" spans="1:10" s="11" customFormat="1" x14ac:dyDescent="0.35">
      <c r="A128" s="8" t="s">
        <v>142</v>
      </c>
      <c r="B128" s="9">
        <v>45432</v>
      </c>
      <c r="C128" s="8" t="s">
        <v>24</v>
      </c>
      <c r="D128" s="8" t="s">
        <v>16</v>
      </c>
      <c r="E128" s="8">
        <v>1.4</v>
      </c>
      <c r="F128" s="8">
        <v>1.5</v>
      </c>
      <c r="G128" s="8" t="s">
        <v>17</v>
      </c>
      <c r="H128" s="10">
        <v>41.81</v>
      </c>
      <c r="I128" s="10">
        <v>70.459999999999994</v>
      </c>
      <c r="J128" s="10">
        <f t="shared" si="3"/>
        <v>28.649999999999991</v>
      </c>
    </row>
    <row r="129" spans="1:10" s="11" customFormat="1" x14ac:dyDescent="0.35">
      <c r="A129" s="5" t="s">
        <v>143</v>
      </c>
      <c r="B129" s="6">
        <v>45351</v>
      </c>
      <c r="C129" s="5" t="s">
        <v>12</v>
      </c>
      <c r="D129" s="5" t="s">
        <v>7</v>
      </c>
      <c r="E129" s="5">
        <v>1.1000000000000001</v>
      </c>
      <c r="F129" s="5">
        <v>1.1000000000000001</v>
      </c>
      <c r="G129" s="5" t="s">
        <v>17</v>
      </c>
      <c r="H129" s="7">
        <v>76.209999999999994</v>
      </c>
      <c r="I129" s="7">
        <v>132.6</v>
      </c>
      <c r="J129" s="7">
        <f t="shared" si="3"/>
        <v>56.39</v>
      </c>
    </row>
    <row r="130" spans="1:10" s="11" customFormat="1" x14ac:dyDescent="0.35">
      <c r="A130" s="2" t="s">
        <v>144</v>
      </c>
      <c r="B130" s="3">
        <v>45578</v>
      </c>
      <c r="C130" s="2" t="s">
        <v>15</v>
      </c>
      <c r="D130" s="2" t="s">
        <v>7</v>
      </c>
      <c r="E130" s="2">
        <v>2.2000000000000002</v>
      </c>
      <c r="F130" s="2">
        <v>3.5</v>
      </c>
      <c r="G130" s="2" t="s">
        <v>8</v>
      </c>
      <c r="H130" s="4">
        <v>81.84</v>
      </c>
      <c r="I130" s="4">
        <v>129.83000000000001</v>
      </c>
      <c r="J130" s="4">
        <f t="shared" ref="J130:J161" si="4">I130-H130</f>
        <v>47.990000000000009</v>
      </c>
    </row>
    <row r="131" spans="1:10" s="11" customFormat="1" x14ac:dyDescent="0.35">
      <c r="A131" s="5" t="s">
        <v>145</v>
      </c>
      <c r="B131" s="6">
        <v>45637</v>
      </c>
      <c r="C131" s="5" t="s">
        <v>15</v>
      </c>
      <c r="D131" s="5" t="s">
        <v>10</v>
      </c>
      <c r="E131" s="5">
        <v>1.6</v>
      </c>
      <c r="F131" s="5">
        <v>1.4</v>
      </c>
      <c r="G131" s="5" t="s">
        <v>17</v>
      </c>
      <c r="H131" s="7">
        <v>97.24</v>
      </c>
      <c r="I131" s="7">
        <v>144.47</v>
      </c>
      <c r="J131" s="7">
        <f t="shared" si="4"/>
        <v>47.230000000000004</v>
      </c>
    </row>
    <row r="132" spans="1:10" s="11" customFormat="1" x14ac:dyDescent="0.35">
      <c r="A132" s="2" t="s">
        <v>146</v>
      </c>
      <c r="B132" s="3">
        <v>45610</v>
      </c>
      <c r="C132" s="2" t="s">
        <v>15</v>
      </c>
      <c r="D132" s="2" t="s">
        <v>10</v>
      </c>
      <c r="E132" s="2">
        <v>1.3</v>
      </c>
      <c r="F132" s="2">
        <v>3</v>
      </c>
      <c r="G132" s="2" t="s">
        <v>8</v>
      </c>
      <c r="H132" s="4">
        <v>113.66</v>
      </c>
      <c r="I132" s="4">
        <v>159.25</v>
      </c>
      <c r="J132" s="4">
        <f t="shared" si="4"/>
        <v>45.59</v>
      </c>
    </row>
    <row r="133" spans="1:10" s="11" customFormat="1" x14ac:dyDescent="0.35">
      <c r="A133" s="2" t="s">
        <v>147</v>
      </c>
      <c r="B133" s="3">
        <v>45502</v>
      </c>
      <c r="C133" s="2" t="s">
        <v>6</v>
      </c>
      <c r="D133" s="2" t="s">
        <v>13</v>
      </c>
      <c r="E133" s="2">
        <v>2.1</v>
      </c>
      <c r="F133" s="2">
        <v>4.0999999999999996</v>
      </c>
      <c r="G133" s="2" t="s">
        <v>8</v>
      </c>
      <c r="H133" s="4">
        <v>93.93</v>
      </c>
      <c r="I133" s="4">
        <v>128.44</v>
      </c>
      <c r="J133" s="4">
        <f t="shared" si="4"/>
        <v>34.509999999999991</v>
      </c>
    </row>
    <row r="134" spans="1:10" s="11" customFormat="1" x14ac:dyDescent="0.35">
      <c r="A134" s="5" t="s">
        <v>148</v>
      </c>
      <c r="B134" s="6">
        <v>45568</v>
      </c>
      <c r="C134" s="5" t="s">
        <v>24</v>
      </c>
      <c r="D134" s="5" t="s">
        <v>21</v>
      </c>
      <c r="E134" s="5">
        <v>1</v>
      </c>
      <c r="F134" s="5">
        <v>1</v>
      </c>
      <c r="G134" s="5" t="s">
        <v>17</v>
      </c>
      <c r="H134" s="7">
        <v>67.84</v>
      </c>
      <c r="I134" s="7">
        <v>99.02</v>
      </c>
      <c r="J134" s="7">
        <f t="shared" si="4"/>
        <v>31.179999999999993</v>
      </c>
    </row>
    <row r="135" spans="1:10" s="11" customFormat="1" x14ac:dyDescent="0.35">
      <c r="A135" s="8" t="s">
        <v>149</v>
      </c>
      <c r="B135" s="9">
        <v>45372</v>
      </c>
      <c r="C135" s="8" t="s">
        <v>12</v>
      </c>
      <c r="D135" s="8" t="s">
        <v>7</v>
      </c>
      <c r="E135" s="8">
        <v>1.8</v>
      </c>
      <c r="F135" s="8">
        <v>1.9</v>
      </c>
      <c r="G135" s="8" t="s">
        <v>17</v>
      </c>
      <c r="H135" s="10">
        <v>53.99</v>
      </c>
      <c r="I135" s="10">
        <v>86.12</v>
      </c>
      <c r="J135" s="10">
        <f t="shared" si="4"/>
        <v>32.130000000000003</v>
      </c>
    </row>
    <row r="136" spans="1:10" s="11" customFormat="1" x14ac:dyDescent="0.35">
      <c r="A136" s="5" t="s">
        <v>150</v>
      </c>
      <c r="B136" s="6">
        <v>45404</v>
      </c>
      <c r="C136" s="5" t="s">
        <v>12</v>
      </c>
      <c r="D136" s="5" t="s">
        <v>21</v>
      </c>
      <c r="E136" s="5">
        <v>2</v>
      </c>
      <c r="F136" s="5">
        <v>1.6</v>
      </c>
      <c r="G136" s="5" t="s">
        <v>17</v>
      </c>
      <c r="H136" s="7">
        <v>74.28</v>
      </c>
      <c r="I136" s="7">
        <v>113.07</v>
      </c>
      <c r="J136" s="7">
        <f t="shared" si="4"/>
        <v>38.789999999999992</v>
      </c>
    </row>
    <row r="137" spans="1:10" s="11" customFormat="1" x14ac:dyDescent="0.35">
      <c r="A137" s="2" t="s">
        <v>151</v>
      </c>
      <c r="B137" s="3">
        <v>45623</v>
      </c>
      <c r="C137" s="2" t="s">
        <v>15</v>
      </c>
      <c r="D137" s="2" t="s">
        <v>7</v>
      </c>
      <c r="E137" s="2">
        <v>1.6</v>
      </c>
      <c r="F137" s="2">
        <v>2.2999999999999998</v>
      </c>
      <c r="G137" s="2" t="s">
        <v>8</v>
      </c>
      <c r="H137" s="4">
        <v>109.36</v>
      </c>
      <c r="I137" s="4">
        <v>161.56</v>
      </c>
      <c r="J137" s="4">
        <f t="shared" si="4"/>
        <v>52.2</v>
      </c>
    </row>
    <row r="138" spans="1:10" s="11" customFormat="1" x14ac:dyDescent="0.35">
      <c r="A138" s="2" t="s">
        <v>152</v>
      </c>
      <c r="B138" s="3">
        <v>45632</v>
      </c>
      <c r="C138" s="2" t="s">
        <v>24</v>
      </c>
      <c r="D138" s="2" t="s">
        <v>10</v>
      </c>
      <c r="E138" s="2">
        <v>1.5</v>
      </c>
      <c r="F138" s="2">
        <v>2.5</v>
      </c>
      <c r="G138" s="2" t="s">
        <v>8</v>
      </c>
      <c r="H138" s="4">
        <v>69.55</v>
      </c>
      <c r="I138" s="4">
        <v>114.3</v>
      </c>
      <c r="J138" s="4">
        <f t="shared" si="4"/>
        <v>44.75</v>
      </c>
    </row>
    <row r="139" spans="1:10" s="11" customFormat="1" x14ac:dyDescent="0.35">
      <c r="A139" s="2" t="s">
        <v>153</v>
      </c>
      <c r="B139" s="3">
        <v>45398</v>
      </c>
      <c r="C139" s="2" t="s">
        <v>6</v>
      </c>
      <c r="D139" s="2" t="s">
        <v>10</v>
      </c>
      <c r="E139" s="2">
        <v>2.6</v>
      </c>
      <c r="F139" s="2">
        <v>4.4000000000000004</v>
      </c>
      <c r="G139" s="2" t="s">
        <v>8</v>
      </c>
      <c r="H139" s="4">
        <v>119.43</v>
      </c>
      <c r="I139" s="4">
        <v>158.1</v>
      </c>
      <c r="J139" s="4">
        <f t="shared" si="4"/>
        <v>38.669999999999987</v>
      </c>
    </row>
    <row r="140" spans="1:10" s="11" customFormat="1" x14ac:dyDescent="0.35">
      <c r="A140" s="2" t="s">
        <v>154</v>
      </c>
      <c r="B140" s="3">
        <v>45598</v>
      </c>
      <c r="C140" s="2" t="s">
        <v>6</v>
      </c>
      <c r="D140" s="2" t="s">
        <v>16</v>
      </c>
      <c r="E140" s="2">
        <v>4.5999999999999996</v>
      </c>
      <c r="F140" s="2">
        <v>5.3</v>
      </c>
      <c r="G140" s="2" t="s">
        <v>8</v>
      </c>
      <c r="H140" s="4">
        <v>110.08</v>
      </c>
      <c r="I140" s="4">
        <v>147.19999999999999</v>
      </c>
      <c r="J140" s="4">
        <f t="shared" si="4"/>
        <v>37.11999999999999</v>
      </c>
    </row>
    <row r="141" spans="1:10" s="11" customFormat="1" x14ac:dyDescent="0.35">
      <c r="A141" s="5" t="s">
        <v>155</v>
      </c>
      <c r="B141" s="6">
        <v>45631</v>
      </c>
      <c r="C141" s="5" t="s">
        <v>6</v>
      </c>
      <c r="D141" s="5" t="s">
        <v>13</v>
      </c>
      <c r="E141" s="5">
        <v>2</v>
      </c>
      <c r="F141" s="5">
        <v>1.7</v>
      </c>
      <c r="G141" s="5" t="s">
        <v>17</v>
      </c>
      <c r="H141" s="7">
        <v>118.85</v>
      </c>
      <c r="I141" s="7">
        <v>158.91999999999999</v>
      </c>
      <c r="J141" s="7">
        <f t="shared" si="4"/>
        <v>40.069999999999993</v>
      </c>
    </row>
    <row r="142" spans="1:10" s="11" customFormat="1" x14ac:dyDescent="0.35">
      <c r="A142" s="5" t="s">
        <v>156</v>
      </c>
      <c r="B142" s="6">
        <v>45319</v>
      </c>
      <c r="C142" s="5" t="s">
        <v>24</v>
      </c>
      <c r="D142" s="5" t="s">
        <v>21</v>
      </c>
      <c r="E142" s="5">
        <v>1</v>
      </c>
      <c r="F142" s="5">
        <v>0.9</v>
      </c>
      <c r="G142" s="5" t="s">
        <v>17</v>
      </c>
      <c r="H142" s="7">
        <v>61.12</v>
      </c>
      <c r="I142" s="7">
        <v>92.08</v>
      </c>
      <c r="J142" s="7">
        <f t="shared" si="4"/>
        <v>30.96</v>
      </c>
    </row>
    <row r="143" spans="1:10" s="11" customFormat="1" x14ac:dyDescent="0.35">
      <c r="A143" s="5" t="s">
        <v>157</v>
      </c>
      <c r="B143" s="6">
        <v>45348</v>
      </c>
      <c r="C143" s="5" t="s">
        <v>12</v>
      </c>
      <c r="D143" s="5" t="s">
        <v>10</v>
      </c>
      <c r="E143" s="5">
        <v>1.2</v>
      </c>
      <c r="F143" s="5">
        <v>1.2</v>
      </c>
      <c r="G143" s="5" t="s">
        <v>17</v>
      </c>
      <c r="H143" s="7">
        <v>85.44</v>
      </c>
      <c r="I143" s="7">
        <v>134.94999999999999</v>
      </c>
      <c r="J143" s="7">
        <f t="shared" si="4"/>
        <v>49.509999999999991</v>
      </c>
    </row>
    <row r="144" spans="1:10" s="11" customFormat="1" x14ac:dyDescent="0.35">
      <c r="A144" s="5" t="s">
        <v>158</v>
      </c>
      <c r="B144" s="6">
        <v>45447</v>
      </c>
      <c r="C144" s="5" t="s">
        <v>12</v>
      </c>
      <c r="D144" s="5" t="s">
        <v>7</v>
      </c>
      <c r="E144" s="5">
        <v>1.1000000000000001</v>
      </c>
      <c r="F144" s="5">
        <v>1</v>
      </c>
      <c r="G144" s="5" t="s">
        <v>17</v>
      </c>
      <c r="H144" s="7">
        <v>74.3</v>
      </c>
      <c r="I144" s="7">
        <v>111.09</v>
      </c>
      <c r="J144" s="7">
        <f t="shared" si="4"/>
        <v>36.790000000000006</v>
      </c>
    </row>
    <row r="145" spans="1:10" s="11" customFormat="1" x14ac:dyDescent="0.35">
      <c r="A145" s="2" t="s">
        <v>159</v>
      </c>
      <c r="B145" s="3">
        <v>45520</v>
      </c>
      <c r="C145" s="2" t="s">
        <v>6</v>
      </c>
      <c r="D145" s="2" t="s">
        <v>7</v>
      </c>
      <c r="E145" s="2">
        <v>3</v>
      </c>
      <c r="F145" s="2">
        <v>3.7</v>
      </c>
      <c r="G145" s="2" t="s">
        <v>8</v>
      </c>
      <c r="H145" s="4">
        <v>154.91999999999999</v>
      </c>
      <c r="I145" s="4">
        <v>238.99</v>
      </c>
      <c r="J145" s="4">
        <f t="shared" si="4"/>
        <v>84.070000000000022</v>
      </c>
    </row>
    <row r="146" spans="1:10" s="11" customFormat="1" x14ac:dyDescent="0.35">
      <c r="A146" s="5" t="s">
        <v>160</v>
      </c>
      <c r="B146" s="6">
        <v>45657</v>
      </c>
      <c r="C146" s="5" t="s">
        <v>15</v>
      </c>
      <c r="D146" s="5" t="s">
        <v>21</v>
      </c>
      <c r="E146" s="5">
        <v>2.5</v>
      </c>
      <c r="F146" s="5">
        <v>2.2999999999999998</v>
      </c>
      <c r="G146" s="5" t="s">
        <v>17</v>
      </c>
      <c r="H146" s="7">
        <v>92.38</v>
      </c>
      <c r="I146" s="7">
        <v>120.06</v>
      </c>
      <c r="J146" s="7">
        <f t="shared" si="4"/>
        <v>27.680000000000007</v>
      </c>
    </row>
    <row r="147" spans="1:10" s="11" customFormat="1" x14ac:dyDescent="0.35">
      <c r="A147" s="2" t="s">
        <v>161</v>
      </c>
      <c r="B147" s="3">
        <v>45652</v>
      </c>
      <c r="C147" s="2" t="s">
        <v>6</v>
      </c>
      <c r="D147" s="2" t="s">
        <v>10</v>
      </c>
      <c r="E147" s="2">
        <v>4.2</v>
      </c>
      <c r="F147" s="2">
        <v>5.4</v>
      </c>
      <c r="G147" s="2" t="s">
        <v>8</v>
      </c>
      <c r="H147" s="4">
        <v>107.42</v>
      </c>
      <c r="I147" s="4">
        <v>152.47999999999999</v>
      </c>
      <c r="J147" s="4">
        <f t="shared" si="4"/>
        <v>45.059999999999988</v>
      </c>
    </row>
    <row r="148" spans="1:10" s="11" customFormat="1" x14ac:dyDescent="0.35">
      <c r="A148" s="5" t="s">
        <v>162</v>
      </c>
      <c r="B148" s="6">
        <v>45525</v>
      </c>
      <c r="C148" s="5" t="s">
        <v>12</v>
      </c>
      <c r="D148" s="5" t="s">
        <v>21</v>
      </c>
      <c r="E148" s="5">
        <v>1.7</v>
      </c>
      <c r="F148" s="5">
        <v>1.5</v>
      </c>
      <c r="G148" s="5" t="s">
        <v>17</v>
      </c>
      <c r="H148" s="7">
        <v>52.74</v>
      </c>
      <c r="I148" s="7">
        <v>91.07</v>
      </c>
      <c r="J148" s="7">
        <f t="shared" si="4"/>
        <v>38.329999999999991</v>
      </c>
    </row>
    <row r="149" spans="1:10" s="11" customFormat="1" x14ac:dyDescent="0.35">
      <c r="A149" s="2" t="s">
        <v>163</v>
      </c>
      <c r="B149" s="3">
        <v>45644</v>
      </c>
      <c r="C149" s="2" t="s">
        <v>12</v>
      </c>
      <c r="D149" s="2" t="s">
        <v>7</v>
      </c>
      <c r="E149" s="2">
        <v>1.1000000000000001</v>
      </c>
      <c r="F149" s="2">
        <v>2.2000000000000002</v>
      </c>
      <c r="G149" s="2" t="s">
        <v>8</v>
      </c>
      <c r="H149" s="4">
        <v>77.23</v>
      </c>
      <c r="I149" s="4">
        <v>110.93</v>
      </c>
      <c r="J149" s="4">
        <f t="shared" si="4"/>
        <v>33.700000000000003</v>
      </c>
    </row>
    <row r="150" spans="1:10" s="11" customFormat="1" x14ac:dyDescent="0.35">
      <c r="A150" s="5" t="s">
        <v>164</v>
      </c>
      <c r="B150" s="6">
        <v>45359</v>
      </c>
      <c r="C150" s="5" t="s">
        <v>6</v>
      </c>
      <c r="D150" s="5" t="s">
        <v>10</v>
      </c>
      <c r="E150" s="5">
        <v>4.9000000000000004</v>
      </c>
      <c r="F150" s="5">
        <v>4.7</v>
      </c>
      <c r="G150" s="5" t="s">
        <v>17</v>
      </c>
      <c r="H150" s="7">
        <v>129.30000000000001</v>
      </c>
      <c r="I150" s="7">
        <v>218.1</v>
      </c>
      <c r="J150" s="7">
        <f t="shared" si="4"/>
        <v>88.799999999999983</v>
      </c>
    </row>
    <row r="151" spans="1:10" s="11" customFormat="1" x14ac:dyDescent="0.35">
      <c r="A151" s="5" t="s">
        <v>165</v>
      </c>
      <c r="B151" s="6">
        <v>45509</v>
      </c>
      <c r="C151" s="5" t="s">
        <v>6</v>
      </c>
      <c r="D151" s="5" t="s">
        <v>16</v>
      </c>
      <c r="E151" s="5">
        <v>3.8</v>
      </c>
      <c r="F151" s="5">
        <v>3.6</v>
      </c>
      <c r="G151" s="5" t="s">
        <v>17</v>
      </c>
      <c r="H151" s="7">
        <v>105.53</v>
      </c>
      <c r="I151" s="7">
        <v>166.57</v>
      </c>
      <c r="J151" s="7">
        <f t="shared" si="4"/>
        <v>61.039999999999992</v>
      </c>
    </row>
    <row r="152" spans="1:10" s="11" customFormat="1" x14ac:dyDescent="0.35">
      <c r="A152" s="5" t="s">
        <v>166</v>
      </c>
      <c r="B152" s="6">
        <v>45407</v>
      </c>
      <c r="C152" s="5" t="s">
        <v>6</v>
      </c>
      <c r="D152" s="5" t="s">
        <v>16</v>
      </c>
      <c r="E152" s="5">
        <v>4.5</v>
      </c>
      <c r="F152" s="5">
        <v>4.5</v>
      </c>
      <c r="G152" s="5" t="s">
        <v>17</v>
      </c>
      <c r="H152" s="7">
        <v>148.88999999999999</v>
      </c>
      <c r="I152" s="7">
        <v>246.21</v>
      </c>
      <c r="J152" s="7">
        <f t="shared" si="4"/>
        <v>97.320000000000022</v>
      </c>
    </row>
    <row r="153" spans="1:10" s="11" customFormat="1" x14ac:dyDescent="0.35">
      <c r="A153" s="5" t="s">
        <v>167</v>
      </c>
      <c r="B153" s="6">
        <v>45580</v>
      </c>
      <c r="C153" s="5" t="s">
        <v>6</v>
      </c>
      <c r="D153" s="5" t="s">
        <v>10</v>
      </c>
      <c r="E153" s="5">
        <v>4.8</v>
      </c>
      <c r="F153" s="5">
        <v>4.2</v>
      </c>
      <c r="G153" s="5" t="s">
        <v>17</v>
      </c>
      <c r="H153" s="7">
        <v>101.65</v>
      </c>
      <c r="I153" s="7">
        <v>162.78</v>
      </c>
      <c r="J153" s="7">
        <f t="shared" si="4"/>
        <v>61.129999999999995</v>
      </c>
    </row>
    <row r="154" spans="1:10" s="11" customFormat="1" x14ac:dyDescent="0.35">
      <c r="A154" s="5" t="s">
        <v>168</v>
      </c>
      <c r="B154" s="6">
        <v>45451</v>
      </c>
      <c r="C154" s="5" t="s">
        <v>15</v>
      </c>
      <c r="D154" s="5" t="s">
        <v>16</v>
      </c>
      <c r="E154" s="5">
        <v>1</v>
      </c>
      <c r="F154" s="5">
        <v>0.9</v>
      </c>
      <c r="G154" s="5" t="s">
        <v>17</v>
      </c>
      <c r="H154" s="7">
        <v>78.05</v>
      </c>
      <c r="I154" s="7">
        <v>103.1</v>
      </c>
      <c r="J154" s="7">
        <f t="shared" si="4"/>
        <v>25.049999999999997</v>
      </c>
    </row>
    <row r="155" spans="1:10" s="11" customFormat="1" x14ac:dyDescent="0.35">
      <c r="A155" s="2" t="s">
        <v>169</v>
      </c>
      <c r="B155" s="3">
        <v>45617</v>
      </c>
      <c r="C155" s="2" t="s">
        <v>6</v>
      </c>
      <c r="D155" s="2" t="s">
        <v>7</v>
      </c>
      <c r="E155" s="2">
        <v>4.2</v>
      </c>
      <c r="F155" s="2">
        <v>5.3</v>
      </c>
      <c r="G155" s="2" t="s">
        <v>8</v>
      </c>
      <c r="H155" s="4">
        <v>120.91</v>
      </c>
      <c r="I155" s="4">
        <v>173.51</v>
      </c>
      <c r="J155" s="4">
        <f t="shared" si="4"/>
        <v>52.599999999999994</v>
      </c>
    </row>
    <row r="156" spans="1:10" s="11" customFormat="1" x14ac:dyDescent="0.35">
      <c r="A156" s="5" t="s">
        <v>170</v>
      </c>
      <c r="B156" s="6">
        <v>45459</v>
      </c>
      <c r="C156" s="5" t="s">
        <v>6</v>
      </c>
      <c r="D156" s="5" t="s">
        <v>7</v>
      </c>
      <c r="E156" s="5">
        <v>2.5</v>
      </c>
      <c r="F156" s="5">
        <v>2</v>
      </c>
      <c r="G156" s="5" t="s">
        <v>17</v>
      </c>
      <c r="H156" s="7">
        <v>89.79</v>
      </c>
      <c r="I156" s="7">
        <v>132.13</v>
      </c>
      <c r="J156" s="7">
        <f t="shared" si="4"/>
        <v>42.339999999999989</v>
      </c>
    </row>
    <row r="157" spans="1:10" s="11" customFormat="1" x14ac:dyDescent="0.35">
      <c r="A157" s="2" t="s">
        <v>171</v>
      </c>
      <c r="B157" s="3">
        <v>45510</v>
      </c>
      <c r="C157" s="2" t="s">
        <v>12</v>
      </c>
      <c r="D157" s="2" t="s">
        <v>10</v>
      </c>
      <c r="E157" s="2">
        <v>1.4</v>
      </c>
      <c r="F157" s="2">
        <v>3</v>
      </c>
      <c r="G157" s="2" t="s">
        <v>8</v>
      </c>
      <c r="H157" s="4">
        <v>45.69</v>
      </c>
      <c r="I157" s="4">
        <v>66.930000000000007</v>
      </c>
      <c r="J157" s="4">
        <f t="shared" si="4"/>
        <v>21.240000000000009</v>
      </c>
    </row>
    <row r="158" spans="1:10" s="11" customFormat="1" x14ac:dyDescent="0.35">
      <c r="A158" s="2" t="s">
        <v>172</v>
      </c>
      <c r="B158" s="3">
        <v>45438</v>
      </c>
      <c r="C158" s="2" t="s">
        <v>12</v>
      </c>
      <c r="D158" s="2" t="s">
        <v>10</v>
      </c>
      <c r="E158" s="2">
        <v>1.7</v>
      </c>
      <c r="F158" s="2">
        <v>2.8</v>
      </c>
      <c r="G158" s="2" t="s">
        <v>8</v>
      </c>
      <c r="H158" s="4">
        <v>69.97</v>
      </c>
      <c r="I158" s="4">
        <v>87.73</v>
      </c>
      <c r="J158" s="4">
        <f t="shared" si="4"/>
        <v>17.760000000000005</v>
      </c>
    </row>
    <row r="159" spans="1:10" s="11" customFormat="1" x14ac:dyDescent="0.35">
      <c r="A159" s="2" t="s">
        <v>173</v>
      </c>
      <c r="B159" s="3">
        <v>45447</v>
      </c>
      <c r="C159" s="2" t="s">
        <v>24</v>
      </c>
      <c r="D159" s="2" t="s">
        <v>13</v>
      </c>
      <c r="E159" s="2">
        <v>1.3</v>
      </c>
      <c r="F159" s="2">
        <v>2</v>
      </c>
      <c r="G159" s="2" t="s">
        <v>8</v>
      </c>
      <c r="H159" s="4">
        <v>49.9</v>
      </c>
      <c r="I159" s="4">
        <v>73.12</v>
      </c>
      <c r="J159" s="4">
        <f t="shared" si="4"/>
        <v>23.220000000000006</v>
      </c>
    </row>
    <row r="160" spans="1:10" s="11" customFormat="1" x14ac:dyDescent="0.35">
      <c r="A160" s="5" t="s">
        <v>174</v>
      </c>
      <c r="B160" s="6">
        <v>45359</v>
      </c>
      <c r="C160" s="5" t="s">
        <v>12</v>
      </c>
      <c r="D160" s="5" t="s">
        <v>10</v>
      </c>
      <c r="E160" s="5">
        <v>1.7</v>
      </c>
      <c r="F160" s="5">
        <v>1.7</v>
      </c>
      <c r="G160" s="5" t="s">
        <v>17</v>
      </c>
      <c r="H160" s="7">
        <v>80.31</v>
      </c>
      <c r="I160" s="7">
        <v>103.28</v>
      </c>
      <c r="J160" s="7">
        <f t="shared" si="4"/>
        <v>22.97</v>
      </c>
    </row>
    <row r="161" spans="1:10" s="11" customFormat="1" x14ac:dyDescent="0.35">
      <c r="A161" s="2" t="s">
        <v>175</v>
      </c>
      <c r="B161" s="3">
        <v>45314</v>
      </c>
      <c r="C161" s="2" t="s">
        <v>12</v>
      </c>
      <c r="D161" s="2" t="s">
        <v>7</v>
      </c>
      <c r="E161" s="2">
        <v>1.5</v>
      </c>
      <c r="F161" s="2">
        <v>2.5</v>
      </c>
      <c r="G161" s="2" t="s">
        <v>8</v>
      </c>
      <c r="H161" s="4">
        <v>61.46</v>
      </c>
      <c r="I161" s="4">
        <v>89.25</v>
      </c>
      <c r="J161" s="4">
        <f t="shared" si="4"/>
        <v>27.79</v>
      </c>
    </row>
    <row r="162" spans="1:10" s="11" customFormat="1" x14ac:dyDescent="0.35">
      <c r="A162" s="2" t="s">
        <v>176</v>
      </c>
      <c r="B162" s="3">
        <v>45620</v>
      </c>
      <c r="C162" s="2" t="s">
        <v>12</v>
      </c>
      <c r="D162" s="2" t="s">
        <v>16</v>
      </c>
      <c r="E162" s="2">
        <v>1.1000000000000001</v>
      </c>
      <c r="F162" s="2">
        <v>2.1</v>
      </c>
      <c r="G162" s="2" t="s">
        <v>8</v>
      </c>
      <c r="H162" s="4">
        <v>80.069999999999993</v>
      </c>
      <c r="I162" s="4">
        <v>124.83</v>
      </c>
      <c r="J162" s="4">
        <f t="shared" ref="J162:J193" si="5">I162-H162</f>
        <v>44.760000000000005</v>
      </c>
    </row>
    <row r="163" spans="1:10" s="11" customFormat="1" x14ac:dyDescent="0.35">
      <c r="A163" s="2" t="s">
        <v>177</v>
      </c>
      <c r="B163" s="3">
        <v>45646</v>
      </c>
      <c r="C163" s="2" t="s">
        <v>15</v>
      </c>
      <c r="D163" s="2" t="s">
        <v>7</v>
      </c>
      <c r="E163" s="2">
        <v>1.7</v>
      </c>
      <c r="F163" s="2">
        <v>2.9</v>
      </c>
      <c r="G163" s="2" t="s">
        <v>8</v>
      </c>
      <c r="H163" s="4">
        <v>78.03</v>
      </c>
      <c r="I163" s="4">
        <v>100.61</v>
      </c>
      <c r="J163" s="4">
        <f t="shared" si="5"/>
        <v>22.58</v>
      </c>
    </row>
    <row r="164" spans="1:10" s="11" customFormat="1" x14ac:dyDescent="0.35">
      <c r="A164" s="2" t="s">
        <v>178</v>
      </c>
      <c r="B164" s="3">
        <v>45451</v>
      </c>
      <c r="C164" s="2" t="s">
        <v>15</v>
      </c>
      <c r="D164" s="2" t="s">
        <v>13</v>
      </c>
      <c r="E164" s="2">
        <v>1.5</v>
      </c>
      <c r="F164" s="2">
        <v>2.8</v>
      </c>
      <c r="G164" s="2" t="s">
        <v>8</v>
      </c>
      <c r="H164" s="4">
        <v>57.98</v>
      </c>
      <c r="I164" s="4">
        <v>87.26</v>
      </c>
      <c r="J164" s="4">
        <f t="shared" si="5"/>
        <v>29.280000000000008</v>
      </c>
    </row>
    <row r="165" spans="1:10" s="11" customFormat="1" x14ac:dyDescent="0.35">
      <c r="A165" s="2" t="s">
        <v>179</v>
      </c>
      <c r="B165" s="3">
        <v>45471</v>
      </c>
      <c r="C165" s="2" t="s">
        <v>15</v>
      </c>
      <c r="D165" s="2" t="s">
        <v>13</v>
      </c>
      <c r="E165" s="2">
        <v>1.4</v>
      </c>
      <c r="F165" s="2">
        <v>2.2000000000000002</v>
      </c>
      <c r="G165" s="2" t="s">
        <v>8</v>
      </c>
      <c r="H165" s="4">
        <v>92.17</v>
      </c>
      <c r="I165" s="4">
        <v>150.25</v>
      </c>
      <c r="J165" s="4">
        <f t="shared" si="5"/>
        <v>58.08</v>
      </c>
    </row>
    <row r="166" spans="1:10" s="11" customFormat="1" x14ac:dyDescent="0.35">
      <c r="A166" s="5" t="s">
        <v>180</v>
      </c>
      <c r="B166" s="6">
        <v>45628</v>
      </c>
      <c r="C166" s="5" t="s">
        <v>6</v>
      </c>
      <c r="D166" s="5" t="s">
        <v>13</v>
      </c>
      <c r="E166" s="5">
        <v>4.9000000000000004</v>
      </c>
      <c r="F166" s="5">
        <v>4.5</v>
      </c>
      <c r="G166" s="5" t="s">
        <v>17</v>
      </c>
      <c r="H166" s="7">
        <v>147.65</v>
      </c>
      <c r="I166" s="7">
        <v>227.34</v>
      </c>
      <c r="J166" s="7">
        <f t="shared" si="5"/>
        <v>79.69</v>
      </c>
    </row>
    <row r="167" spans="1:10" s="11" customFormat="1" x14ac:dyDescent="0.35">
      <c r="A167" s="2" t="s">
        <v>181</v>
      </c>
      <c r="B167" s="3">
        <v>45641</v>
      </c>
      <c r="C167" s="2" t="s">
        <v>15</v>
      </c>
      <c r="D167" s="2" t="s">
        <v>16</v>
      </c>
      <c r="E167" s="2">
        <v>1.2</v>
      </c>
      <c r="F167" s="2">
        <v>2.4</v>
      </c>
      <c r="G167" s="2" t="s">
        <v>8</v>
      </c>
      <c r="H167" s="4">
        <v>71.2</v>
      </c>
      <c r="I167" s="4">
        <v>98.78</v>
      </c>
      <c r="J167" s="4">
        <f t="shared" si="5"/>
        <v>27.58</v>
      </c>
    </row>
    <row r="168" spans="1:10" s="11" customFormat="1" x14ac:dyDescent="0.35">
      <c r="A168" s="5" t="s">
        <v>182</v>
      </c>
      <c r="B168" s="6">
        <v>45321</v>
      </c>
      <c r="C168" s="5" t="s">
        <v>15</v>
      </c>
      <c r="D168" s="5" t="s">
        <v>10</v>
      </c>
      <c r="E168" s="5">
        <v>1.1000000000000001</v>
      </c>
      <c r="F168" s="5">
        <v>0.9</v>
      </c>
      <c r="G168" s="5" t="s">
        <v>17</v>
      </c>
      <c r="H168" s="7">
        <v>75.81</v>
      </c>
      <c r="I168" s="7">
        <v>105.64</v>
      </c>
      <c r="J168" s="7">
        <f t="shared" si="5"/>
        <v>29.83</v>
      </c>
    </row>
    <row r="169" spans="1:10" s="11" customFormat="1" x14ac:dyDescent="0.35">
      <c r="A169" s="5" t="s">
        <v>183</v>
      </c>
      <c r="B169" s="6">
        <v>45623</v>
      </c>
      <c r="C169" s="5" t="s">
        <v>6</v>
      </c>
      <c r="D169" s="5" t="s">
        <v>10</v>
      </c>
      <c r="E169" s="5">
        <v>3.8</v>
      </c>
      <c r="F169" s="5">
        <v>3.6</v>
      </c>
      <c r="G169" s="5" t="s">
        <v>17</v>
      </c>
      <c r="H169" s="7">
        <v>194.51</v>
      </c>
      <c r="I169" s="7">
        <v>315</v>
      </c>
      <c r="J169" s="7">
        <f t="shared" si="5"/>
        <v>120.49000000000001</v>
      </c>
    </row>
    <row r="170" spans="1:10" s="11" customFormat="1" x14ac:dyDescent="0.35">
      <c r="A170" s="5" t="s">
        <v>184</v>
      </c>
      <c r="B170" s="6">
        <v>45314</v>
      </c>
      <c r="C170" s="5" t="s">
        <v>12</v>
      </c>
      <c r="D170" s="5" t="s">
        <v>10</v>
      </c>
      <c r="E170" s="5">
        <v>1.7</v>
      </c>
      <c r="F170" s="5">
        <v>1.6</v>
      </c>
      <c r="G170" s="5" t="s">
        <v>17</v>
      </c>
      <c r="H170" s="7">
        <v>47.54</v>
      </c>
      <c r="I170" s="7">
        <v>60.9</v>
      </c>
      <c r="J170" s="7">
        <f t="shared" si="5"/>
        <v>13.36</v>
      </c>
    </row>
    <row r="171" spans="1:10" s="11" customFormat="1" x14ac:dyDescent="0.35">
      <c r="A171" s="2" t="s">
        <v>185</v>
      </c>
      <c r="B171" s="3">
        <v>45345</v>
      </c>
      <c r="C171" s="2" t="s">
        <v>15</v>
      </c>
      <c r="D171" s="2" t="s">
        <v>7</v>
      </c>
      <c r="E171" s="2">
        <v>1.8</v>
      </c>
      <c r="F171" s="2">
        <v>2.7</v>
      </c>
      <c r="G171" s="2" t="s">
        <v>8</v>
      </c>
      <c r="H171" s="4">
        <v>80.64</v>
      </c>
      <c r="I171" s="4">
        <v>118.52</v>
      </c>
      <c r="J171" s="4">
        <f t="shared" si="5"/>
        <v>37.879999999999995</v>
      </c>
    </row>
    <row r="172" spans="1:10" s="11" customFormat="1" x14ac:dyDescent="0.35">
      <c r="A172" s="2" t="s">
        <v>186</v>
      </c>
      <c r="B172" s="3">
        <v>45560</v>
      </c>
      <c r="C172" s="2" t="s">
        <v>24</v>
      </c>
      <c r="D172" s="2" t="s">
        <v>16</v>
      </c>
      <c r="E172" s="2">
        <v>0.9</v>
      </c>
      <c r="F172" s="2">
        <v>2</v>
      </c>
      <c r="G172" s="2" t="s">
        <v>8</v>
      </c>
      <c r="H172" s="4">
        <v>43.53</v>
      </c>
      <c r="I172" s="4">
        <v>67.430000000000007</v>
      </c>
      <c r="J172" s="4">
        <f t="shared" si="5"/>
        <v>23.900000000000006</v>
      </c>
    </row>
    <row r="173" spans="1:10" s="11" customFormat="1" x14ac:dyDescent="0.35">
      <c r="A173" s="5" t="s">
        <v>187</v>
      </c>
      <c r="B173" s="6">
        <v>45616</v>
      </c>
      <c r="C173" s="5" t="s">
        <v>15</v>
      </c>
      <c r="D173" s="5" t="s">
        <v>7</v>
      </c>
      <c r="E173" s="5">
        <v>1.5</v>
      </c>
      <c r="F173" s="5">
        <v>1.3</v>
      </c>
      <c r="G173" s="5" t="s">
        <v>17</v>
      </c>
      <c r="H173" s="7">
        <v>67.64</v>
      </c>
      <c r="I173" s="7">
        <v>113.35</v>
      </c>
      <c r="J173" s="7">
        <f t="shared" si="5"/>
        <v>45.709999999999994</v>
      </c>
    </row>
    <row r="174" spans="1:10" s="11" customFormat="1" x14ac:dyDescent="0.35">
      <c r="A174" s="5" t="s">
        <v>188</v>
      </c>
      <c r="B174" s="6">
        <v>45601</v>
      </c>
      <c r="C174" s="5" t="s">
        <v>24</v>
      </c>
      <c r="D174" s="5" t="s">
        <v>16</v>
      </c>
      <c r="E174" s="5">
        <v>0.6</v>
      </c>
      <c r="F174" s="5">
        <v>0.6</v>
      </c>
      <c r="G174" s="5" t="s">
        <v>17</v>
      </c>
      <c r="H174" s="7">
        <v>42.41</v>
      </c>
      <c r="I174" s="7">
        <v>66.92</v>
      </c>
      <c r="J174" s="7">
        <f t="shared" si="5"/>
        <v>24.510000000000005</v>
      </c>
    </row>
    <row r="175" spans="1:10" s="11" customFormat="1" x14ac:dyDescent="0.35">
      <c r="A175" s="5" t="s">
        <v>189</v>
      </c>
      <c r="B175" s="6">
        <v>45632</v>
      </c>
      <c r="C175" s="5" t="s">
        <v>12</v>
      </c>
      <c r="D175" s="5" t="s">
        <v>13</v>
      </c>
      <c r="E175" s="5">
        <v>1.6</v>
      </c>
      <c r="F175" s="5">
        <v>1.4</v>
      </c>
      <c r="G175" s="5" t="s">
        <v>17</v>
      </c>
      <c r="H175" s="7">
        <v>58.83</v>
      </c>
      <c r="I175" s="7">
        <v>96.82</v>
      </c>
      <c r="J175" s="7">
        <f t="shared" si="5"/>
        <v>37.989999999999995</v>
      </c>
    </row>
    <row r="176" spans="1:10" s="11" customFormat="1" x14ac:dyDescent="0.35">
      <c r="A176" s="2" t="s">
        <v>190</v>
      </c>
      <c r="B176" s="3">
        <v>45358</v>
      </c>
      <c r="C176" s="2" t="s">
        <v>6</v>
      </c>
      <c r="D176" s="2" t="s">
        <v>21</v>
      </c>
      <c r="E176" s="2">
        <v>3.5</v>
      </c>
      <c r="F176" s="2">
        <v>4.5</v>
      </c>
      <c r="G176" s="2" t="s">
        <v>8</v>
      </c>
      <c r="H176" s="4">
        <v>194.14</v>
      </c>
      <c r="I176" s="4">
        <v>275.85000000000002</v>
      </c>
      <c r="J176" s="4">
        <f t="shared" si="5"/>
        <v>81.710000000000036</v>
      </c>
    </row>
    <row r="177" spans="1:10" s="11" customFormat="1" x14ac:dyDescent="0.35">
      <c r="A177" s="2" t="s">
        <v>191</v>
      </c>
      <c r="B177" s="3">
        <v>45541</v>
      </c>
      <c r="C177" s="2" t="s">
        <v>24</v>
      </c>
      <c r="D177" s="2" t="s">
        <v>13</v>
      </c>
      <c r="E177" s="2">
        <v>1.5</v>
      </c>
      <c r="F177" s="2">
        <v>2.4</v>
      </c>
      <c r="G177" s="2" t="s">
        <v>8</v>
      </c>
      <c r="H177" s="4">
        <v>61.52</v>
      </c>
      <c r="I177" s="4">
        <v>92.52</v>
      </c>
      <c r="J177" s="4">
        <f t="shared" si="5"/>
        <v>30.999999999999993</v>
      </c>
    </row>
    <row r="178" spans="1:10" s="11" customFormat="1" x14ac:dyDescent="0.35">
      <c r="A178" s="5" t="s">
        <v>192</v>
      </c>
      <c r="B178" s="6">
        <v>45569</v>
      </c>
      <c r="C178" s="5" t="s">
        <v>6</v>
      </c>
      <c r="D178" s="5" t="s">
        <v>16</v>
      </c>
      <c r="E178" s="5">
        <v>4.5999999999999996</v>
      </c>
      <c r="F178" s="5">
        <v>4.4000000000000004</v>
      </c>
      <c r="G178" s="5" t="s">
        <v>17</v>
      </c>
      <c r="H178" s="7">
        <v>98.51</v>
      </c>
      <c r="I178" s="7">
        <v>132.05000000000001</v>
      </c>
      <c r="J178" s="7">
        <f t="shared" si="5"/>
        <v>33.540000000000006</v>
      </c>
    </row>
    <row r="179" spans="1:10" s="11" customFormat="1" x14ac:dyDescent="0.35">
      <c r="A179" s="5" t="s">
        <v>193</v>
      </c>
      <c r="B179" s="6">
        <v>45647</v>
      </c>
      <c r="C179" s="5" t="s">
        <v>24</v>
      </c>
      <c r="D179" s="5" t="s">
        <v>21</v>
      </c>
      <c r="E179" s="5">
        <v>0.5</v>
      </c>
      <c r="F179" s="5">
        <v>0.5</v>
      </c>
      <c r="G179" s="5" t="s">
        <v>17</v>
      </c>
      <c r="H179" s="7">
        <v>68.78</v>
      </c>
      <c r="I179" s="7">
        <v>106.97</v>
      </c>
      <c r="J179" s="7">
        <f t="shared" si="5"/>
        <v>38.19</v>
      </c>
    </row>
    <row r="180" spans="1:10" s="11" customFormat="1" x14ac:dyDescent="0.35">
      <c r="A180" s="5" t="s">
        <v>194</v>
      </c>
      <c r="B180" s="6">
        <v>45522</v>
      </c>
      <c r="C180" s="5" t="s">
        <v>24</v>
      </c>
      <c r="D180" s="5" t="s">
        <v>10</v>
      </c>
      <c r="E180" s="5">
        <v>0.7</v>
      </c>
      <c r="F180" s="5">
        <v>0.7</v>
      </c>
      <c r="G180" s="5" t="s">
        <v>17</v>
      </c>
      <c r="H180" s="7">
        <v>66.16</v>
      </c>
      <c r="I180" s="7">
        <v>89.12</v>
      </c>
      <c r="J180" s="7">
        <f t="shared" si="5"/>
        <v>22.960000000000008</v>
      </c>
    </row>
    <row r="181" spans="1:10" s="11" customFormat="1" x14ac:dyDescent="0.35">
      <c r="A181" s="5" t="s">
        <v>195</v>
      </c>
      <c r="B181" s="6">
        <v>45640</v>
      </c>
      <c r="C181" s="5" t="s">
        <v>12</v>
      </c>
      <c r="D181" s="5" t="s">
        <v>21</v>
      </c>
      <c r="E181" s="5">
        <v>1.8</v>
      </c>
      <c r="F181" s="5">
        <v>1.7</v>
      </c>
      <c r="G181" s="5" t="s">
        <v>17</v>
      </c>
      <c r="H181" s="7">
        <v>60.93</v>
      </c>
      <c r="I181" s="7">
        <v>81.099999999999994</v>
      </c>
      <c r="J181" s="7">
        <f t="shared" si="5"/>
        <v>20.169999999999995</v>
      </c>
    </row>
    <row r="182" spans="1:10" s="11" customFormat="1" x14ac:dyDescent="0.35">
      <c r="A182" s="5" t="s">
        <v>196</v>
      </c>
      <c r="B182" s="6">
        <v>45395</v>
      </c>
      <c r="C182" s="5" t="s">
        <v>24</v>
      </c>
      <c r="D182" s="5" t="s">
        <v>16</v>
      </c>
      <c r="E182" s="5">
        <v>0.6</v>
      </c>
      <c r="F182" s="5">
        <v>0.5</v>
      </c>
      <c r="G182" s="5" t="s">
        <v>17</v>
      </c>
      <c r="H182" s="7">
        <v>67.37</v>
      </c>
      <c r="I182" s="7">
        <v>108.18</v>
      </c>
      <c r="J182" s="7">
        <f t="shared" si="5"/>
        <v>40.81</v>
      </c>
    </row>
    <row r="183" spans="1:10" s="11" customFormat="1" x14ac:dyDescent="0.35">
      <c r="A183" s="2" t="s">
        <v>197</v>
      </c>
      <c r="B183" s="3">
        <v>45557</v>
      </c>
      <c r="C183" s="2" t="s">
        <v>6</v>
      </c>
      <c r="D183" s="2" t="s">
        <v>16</v>
      </c>
      <c r="E183" s="2">
        <v>2.2999999999999998</v>
      </c>
      <c r="F183" s="2">
        <v>3.5</v>
      </c>
      <c r="G183" s="2" t="s">
        <v>8</v>
      </c>
      <c r="H183" s="4">
        <v>141.6</v>
      </c>
      <c r="I183" s="4">
        <v>235.84</v>
      </c>
      <c r="J183" s="4">
        <f t="shared" si="5"/>
        <v>94.240000000000009</v>
      </c>
    </row>
    <row r="184" spans="1:10" s="11" customFormat="1" x14ac:dyDescent="0.35">
      <c r="A184" s="5" t="s">
        <v>198</v>
      </c>
      <c r="B184" s="6">
        <v>45339</v>
      </c>
      <c r="C184" s="5" t="s">
        <v>24</v>
      </c>
      <c r="D184" s="5" t="s">
        <v>21</v>
      </c>
      <c r="E184" s="5">
        <v>1.4</v>
      </c>
      <c r="F184" s="5">
        <v>1.3</v>
      </c>
      <c r="G184" s="5" t="s">
        <v>17</v>
      </c>
      <c r="H184" s="7">
        <v>45.86</v>
      </c>
      <c r="I184" s="7">
        <v>65.900000000000006</v>
      </c>
      <c r="J184" s="7">
        <f t="shared" si="5"/>
        <v>20.040000000000006</v>
      </c>
    </row>
    <row r="185" spans="1:10" s="11" customFormat="1" x14ac:dyDescent="0.35">
      <c r="A185" s="5" t="s">
        <v>199</v>
      </c>
      <c r="B185" s="6">
        <v>45490</v>
      </c>
      <c r="C185" s="5" t="s">
        <v>6</v>
      </c>
      <c r="D185" s="5" t="s">
        <v>16</v>
      </c>
      <c r="E185" s="5">
        <v>2.7</v>
      </c>
      <c r="F185" s="5">
        <v>2.2000000000000002</v>
      </c>
      <c r="G185" s="5" t="s">
        <v>17</v>
      </c>
      <c r="H185" s="7">
        <v>165.76</v>
      </c>
      <c r="I185" s="7">
        <v>234.99</v>
      </c>
      <c r="J185" s="7">
        <f t="shared" si="5"/>
        <v>69.230000000000018</v>
      </c>
    </row>
    <row r="186" spans="1:10" s="11" customFormat="1" x14ac:dyDescent="0.35">
      <c r="A186" s="5" t="s">
        <v>200</v>
      </c>
      <c r="B186" s="6">
        <v>45367</v>
      </c>
      <c r="C186" s="5" t="s">
        <v>24</v>
      </c>
      <c r="D186" s="5" t="s">
        <v>7</v>
      </c>
      <c r="E186" s="5">
        <v>0.8</v>
      </c>
      <c r="F186" s="5">
        <v>0.8</v>
      </c>
      <c r="G186" s="5" t="s">
        <v>17</v>
      </c>
      <c r="H186" s="7">
        <v>35.549999999999997</v>
      </c>
      <c r="I186" s="7">
        <v>56.98</v>
      </c>
      <c r="J186" s="7">
        <f t="shared" si="5"/>
        <v>21.43</v>
      </c>
    </row>
    <row r="187" spans="1:10" s="11" customFormat="1" x14ac:dyDescent="0.35">
      <c r="A187" s="2" t="s">
        <v>201</v>
      </c>
      <c r="B187" s="3">
        <v>45522</v>
      </c>
      <c r="C187" s="2" t="s">
        <v>6</v>
      </c>
      <c r="D187" s="2" t="s">
        <v>7</v>
      </c>
      <c r="E187" s="2">
        <v>2.1</v>
      </c>
      <c r="F187" s="2">
        <v>2.8</v>
      </c>
      <c r="G187" s="2" t="s">
        <v>8</v>
      </c>
      <c r="H187" s="4">
        <v>192.83</v>
      </c>
      <c r="I187" s="4">
        <v>299.74</v>
      </c>
      <c r="J187" s="4">
        <f t="shared" si="5"/>
        <v>106.91</v>
      </c>
    </row>
    <row r="188" spans="1:10" s="11" customFormat="1" x14ac:dyDescent="0.35">
      <c r="A188" s="2" t="s">
        <v>202</v>
      </c>
      <c r="B188" s="3">
        <v>45509</v>
      </c>
      <c r="C188" s="2" t="s">
        <v>6</v>
      </c>
      <c r="D188" s="2" t="s">
        <v>16</v>
      </c>
      <c r="E188" s="2">
        <v>2.7</v>
      </c>
      <c r="F188" s="2">
        <v>3.6</v>
      </c>
      <c r="G188" s="2" t="s">
        <v>8</v>
      </c>
      <c r="H188" s="4">
        <v>156.66999999999999</v>
      </c>
      <c r="I188" s="4">
        <v>244.63</v>
      </c>
      <c r="J188" s="4">
        <f t="shared" si="5"/>
        <v>87.960000000000008</v>
      </c>
    </row>
    <row r="189" spans="1:10" s="11" customFormat="1" x14ac:dyDescent="0.35">
      <c r="A189" s="2" t="s">
        <v>203</v>
      </c>
      <c r="B189" s="3">
        <v>45325</v>
      </c>
      <c r="C189" s="2" t="s">
        <v>6</v>
      </c>
      <c r="D189" s="2" t="s">
        <v>21</v>
      </c>
      <c r="E189" s="2">
        <v>3.8</v>
      </c>
      <c r="F189" s="2">
        <v>5.0999999999999996</v>
      </c>
      <c r="G189" s="2" t="s">
        <v>8</v>
      </c>
      <c r="H189" s="4">
        <v>109.03</v>
      </c>
      <c r="I189" s="4">
        <v>144.11000000000001</v>
      </c>
      <c r="J189" s="4">
        <f t="shared" si="5"/>
        <v>35.080000000000013</v>
      </c>
    </row>
    <row r="190" spans="1:10" s="11" customFormat="1" x14ac:dyDescent="0.35">
      <c r="A190" s="5" t="s">
        <v>204</v>
      </c>
      <c r="B190" s="6">
        <v>45512</v>
      </c>
      <c r="C190" s="5" t="s">
        <v>6</v>
      </c>
      <c r="D190" s="5" t="s">
        <v>10</v>
      </c>
      <c r="E190" s="5">
        <v>3.1</v>
      </c>
      <c r="F190" s="5">
        <v>2.6</v>
      </c>
      <c r="G190" s="5" t="s">
        <v>17</v>
      </c>
      <c r="H190" s="7">
        <v>160.19</v>
      </c>
      <c r="I190" s="7">
        <v>242.17</v>
      </c>
      <c r="J190" s="7">
        <f t="shared" si="5"/>
        <v>81.97999999999999</v>
      </c>
    </row>
    <row r="191" spans="1:10" s="11" customFormat="1" x14ac:dyDescent="0.35">
      <c r="A191" s="5" t="s">
        <v>205</v>
      </c>
      <c r="B191" s="6">
        <v>45477</v>
      </c>
      <c r="C191" s="5" t="s">
        <v>6</v>
      </c>
      <c r="D191" s="5" t="s">
        <v>10</v>
      </c>
      <c r="E191" s="5">
        <v>3.6</v>
      </c>
      <c r="F191" s="5">
        <v>3.3</v>
      </c>
      <c r="G191" s="5" t="s">
        <v>17</v>
      </c>
      <c r="H191" s="7">
        <v>82.44</v>
      </c>
      <c r="I191" s="7">
        <v>139.05000000000001</v>
      </c>
      <c r="J191" s="7">
        <f t="shared" si="5"/>
        <v>56.610000000000014</v>
      </c>
    </row>
    <row r="192" spans="1:10" s="11" customFormat="1" x14ac:dyDescent="0.35">
      <c r="A192" s="2" t="s">
        <v>206</v>
      </c>
      <c r="B192" s="3">
        <v>45315</v>
      </c>
      <c r="C192" s="2" t="s">
        <v>12</v>
      </c>
      <c r="D192" s="2" t="s">
        <v>16</v>
      </c>
      <c r="E192" s="2">
        <v>1.3</v>
      </c>
      <c r="F192" s="2">
        <v>3</v>
      </c>
      <c r="G192" s="2" t="s">
        <v>8</v>
      </c>
      <c r="H192" s="4">
        <v>57.24</v>
      </c>
      <c r="I192" s="4">
        <v>92.53</v>
      </c>
      <c r="J192" s="4">
        <f t="shared" si="5"/>
        <v>35.29</v>
      </c>
    </row>
    <row r="193" spans="1:10" s="11" customFormat="1" x14ac:dyDescent="0.35">
      <c r="A193" s="5" t="s">
        <v>207</v>
      </c>
      <c r="B193" s="6">
        <v>45614</v>
      </c>
      <c r="C193" s="5" t="s">
        <v>6</v>
      </c>
      <c r="D193" s="5" t="s">
        <v>10</v>
      </c>
      <c r="E193" s="5">
        <v>4.2</v>
      </c>
      <c r="F193" s="5">
        <v>3.4</v>
      </c>
      <c r="G193" s="5" t="s">
        <v>17</v>
      </c>
      <c r="H193" s="7">
        <v>145.52000000000001</v>
      </c>
      <c r="I193" s="7">
        <v>241.09</v>
      </c>
      <c r="J193" s="7">
        <f t="shared" si="5"/>
        <v>95.57</v>
      </c>
    </row>
    <row r="194" spans="1:10" s="11" customFormat="1" x14ac:dyDescent="0.35">
      <c r="A194" s="5" t="s">
        <v>208</v>
      </c>
      <c r="B194" s="6">
        <v>45382</v>
      </c>
      <c r="C194" s="5" t="s">
        <v>12</v>
      </c>
      <c r="D194" s="5" t="s">
        <v>21</v>
      </c>
      <c r="E194" s="5">
        <v>1.6</v>
      </c>
      <c r="F194" s="5">
        <v>1.3</v>
      </c>
      <c r="G194" s="5" t="s">
        <v>17</v>
      </c>
      <c r="H194" s="7">
        <v>78.81</v>
      </c>
      <c r="I194" s="7">
        <v>116.55</v>
      </c>
      <c r="J194" s="7">
        <f t="shared" ref="J194:J201" si="6">I194-H194</f>
        <v>37.739999999999995</v>
      </c>
    </row>
    <row r="195" spans="1:10" s="11" customFormat="1" x14ac:dyDescent="0.35">
      <c r="A195" s="5" t="s">
        <v>209</v>
      </c>
      <c r="B195" s="6">
        <v>45443</v>
      </c>
      <c r="C195" s="5" t="s">
        <v>24</v>
      </c>
      <c r="D195" s="5" t="s">
        <v>7</v>
      </c>
      <c r="E195" s="5">
        <v>1.3</v>
      </c>
      <c r="F195" s="5">
        <v>1.1000000000000001</v>
      </c>
      <c r="G195" s="5" t="s">
        <v>17</v>
      </c>
      <c r="H195" s="7">
        <v>42.4</v>
      </c>
      <c r="I195" s="7">
        <v>61.44</v>
      </c>
      <c r="J195" s="7">
        <f t="shared" si="6"/>
        <v>19.04</v>
      </c>
    </row>
    <row r="196" spans="1:10" s="11" customFormat="1" x14ac:dyDescent="0.35">
      <c r="A196" s="5" t="s">
        <v>210</v>
      </c>
      <c r="B196" s="6">
        <v>45571</v>
      </c>
      <c r="C196" s="5" t="s">
        <v>12</v>
      </c>
      <c r="D196" s="5" t="s">
        <v>16</v>
      </c>
      <c r="E196" s="5">
        <v>1</v>
      </c>
      <c r="F196" s="5">
        <v>0.9</v>
      </c>
      <c r="G196" s="5" t="s">
        <v>17</v>
      </c>
      <c r="H196" s="7">
        <v>83.11</v>
      </c>
      <c r="I196" s="7">
        <v>105.87</v>
      </c>
      <c r="J196" s="7">
        <f t="shared" si="6"/>
        <v>22.760000000000005</v>
      </c>
    </row>
    <row r="197" spans="1:10" s="11" customFormat="1" x14ac:dyDescent="0.35">
      <c r="A197" s="5" t="s">
        <v>211</v>
      </c>
      <c r="B197" s="6">
        <v>45628</v>
      </c>
      <c r="C197" s="5" t="s">
        <v>15</v>
      </c>
      <c r="D197" s="5" t="s">
        <v>16</v>
      </c>
      <c r="E197" s="5">
        <v>1.2</v>
      </c>
      <c r="F197" s="5">
        <v>1.2</v>
      </c>
      <c r="G197" s="5" t="s">
        <v>17</v>
      </c>
      <c r="H197" s="7">
        <v>102.03</v>
      </c>
      <c r="I197" s="7">
        <v>173.18</v>
      </c>
      <c r="J197" s="7">
        <f t="shared" si="6"/>
        <v>71.150000000000006</v>
      </c>
    </row>
    <row r="198" spans="1:10" s="11" customFormat="1" x14ac:dyDescent="0.35">
      <c r="A198" s="8" t="s">
        <v>212</v>
      </c>
      <c r="B198" s="9">
        <v>45490</v>
      </c>
      <c r="C198" s="8" t="s">
        <v>15</v>
      </c>
      <c r="D198" s="8" t="s">
        <v>13</v>
      </c>
      <c r="E198" s="8">
        <v>1.7</v>
      </c>
      <c r="F198" s="8">
        <v>1.8</v>
      </c>
      <c r="G198" s="8" t="s">
        <v>17</v>
      </c>
      <c r="H198" s="10">
        <v>86.35</v>
      </c>
      <c r="I198" s="10">
        <v>142.53</v>
      </c>
      <c r="J198" s="10">
        <f t="shared" si="6"/>
        <v>56.180000000000007</v>
      </c>
    </row>
    <row r="199" spans="1:10" s="11" customFormat="1" x14ac:dyDescent="0.35">
      <c r="A199" s="5" t="s">
        <v>213</v>
      </c>
      <c r="B199" s="6">
        <v>45510</v>
      </c>
      <c r="C199" s="5" t="s">
        <v>6</v>
      </c>
      <c r="D199" s="5" t="s">
        <v>21</v>
      </c>
      <c r="E199" s="5">
        <v>3.8</v>
      </c>
      <c r="F199" s="5">
        <v>3.6</v>
      </c>
      <c r="G199" s="5" t="s">
        <v>17</v>
      </c>
      <c r="H199" s="7">
        <v>118.55</v>
      </c>
      <c r="I199" s="7">
        <v>152.93</v>
      </c>
      <c r="J199" s="7">
        <f t="shared" si="6"/>
        <v>34.38000000000001</v>
      </c>
    </row>
    <row r="200" spans="1:10" s="11" customFormat="1" x14ac:dyDescent="0.35">
      <c r="A200" s="5" t="s">
        <v>214</v>
      </c>
      <c r="B200" s="6">
        <v>45631</v>
      </c>
      <c r="C200" s="5" t="s">
        <v>15</v>
      </c>
      <c r="D200" s="5" t="s">
        <v>16</v>
      </c>
      <c r="E200" s="5">
        <v>1.7</v>
      </c>
      <c r="F200" s="5">
        <v>1.4</v>
      </c>
      <c r="G200" s="5" t="s">
        <v>17</v>
      </c>
      <c r="H200" s="7">
        <v>81.069999999999993</v>
      </c>
      <c r="I200" s="7">
        <v>119.46</v>
      </c>
      <c r="J200" s="7">
        <f t="shared" si="6"/>
        <v>38.39</v>
      </c>
    </row>
    <row r="201" spans="1:10" s="11" customFormat="1" x14ac:dyDescent="0.35">
      <c r="A201" s="5" t="s">
        <v>215</v>
      </c>
      <c r="B201" s="6">
        <v>45473</v>
      </c>
      <c r="C201" s="5" t="s">
        <v>12</v>
      </c>
      <c r="D201" s="5" t="s">
        <v>16</v>
      </c>
      <c r="E201" s="5">
        <v>1.6</v>
      </c>
      <c r="F201" s="5">
        <v>1.3</v>
      </c>
      <c r="G201" s="5" t="s">
        <v>17</v>
      </c>
      <c r="H201" s="7">
        <v>73.56</v>
      </c>
      <c r="I201" s="7">
        <v>106.89</v>
      </c>
      <c r="J201" s="7">
        <f t="shared" si="6"/>
        <v>33.33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Servicios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Guillermo Martín Fueyo</cp:lastModifiedBy>
  <cp:revision>0</cp:revision>
  <dcterms:created xsi:type="dcterms:W3CDTF">2026-03-10T09:41:25Z</dcterms:created>
  <dcterms:modified xsi:type="dcterms:W3CDTF">2026-05-08T14:13:42Z</dcterms:modified>
  <dc:language>en-US</dc:language>
</cp:coreProperties>
</file>